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4F30F6D0-5668-4689-AB2D-4C3804FBAC4A}"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_xlnm.Print_Titles" localSheetId="0">'Project schedule'!$4:$6</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F9" i="11" s="1"/>
  <c r="E10" i="11" s="1"/>
  <c r="F10" i="11" s="1"/>
  <c r="E11" i="11" s="1"/>
  <c r="F11" i="11" s="1"/>
  <c r="E12" i="11" s="1"/>
  <c r="F12" i="11" s="1"/>
  <c r="E13" i="11" s="1"/>
  <c r="F13" i="11" s="1"/>
  <c r="E15" i="11" s="1"/>
  <c r="F15" i="11" s="1"/>
  <c r="E16" i="11" s="1"/>
  <c r="F16" i="11" s="1"/>
  <c r="E17" i="11" s="1"/>
  <c r="F17" i="11" s="1"/>
  <c r="E18" i="11" s="1"/>
  <c r="I5" i="11" l="1"/>
  <c r="H36" i="11"/>
  <c r="H26" i="11"/>
  <c r="H20" i="11"/>
  <c r="H14" i="11"/>
  <c r="H8" i="11"/>
  <c r="H9" i="11" l="1"/>
  <c r="I6" i="11"/>
  <c r="H10" i="11" l="1"/>
  <c r="H15" i="11"/>
  <c r="H13" i="11"/>
  <c r="J5" i="11"/>
  <c r="K5" i="11" s="1"/>
  <c r="L5" i="11" s="1"/>
  <c r="M5" i="11" s="1"/>
  <c r="N5" i="11" s="1"/>
  <c r="O5" i="11" s="1"/>
  <c r="P5" i="11" s="1"/>
  <c r="I4" i="11"/>
  <c r="H16" i="11" l="1"/>
  <c r="H11" i="11"/>
  <c r="H12" i="11"/>
  <c r="P4" i="11"/>
  <c r="Q5" i="11"/>
  <c r="R5" i="11" s="1"/>
  <c r="S5" i="11" s="1"/>
  <c r="T5" i="11" s="1"/>
  <c r="U5" i="11" s="1"/>
  <c r="V5" i="11" s="1"/>
  <c r="W5" i="11" s="1"/>
  <c r="J6" i="11"/>
  <c r="F18" i="11" l="1"/>
  <c r="H17" i="11"/>
  <c r="W4" i="11"/>
  <c r="X5" i="11"/>
  <c r="Y5" i="11" s="1"/>
  <c r="Z5" i="11" s="1"/>
  <c r="AA5" i="11" s="1"/>
  <c r="AB5" i="11" s="1"/>
  <c r="AC5" i="11" s="1"/>
  <c r="AD5" i="11" s="1"/>
  <c r="K6" i="11"/>
  <c r="H18" i="11" l="1"/>
  <c r="E19" i="11"/>
  <c r="AE5" i="11"/>
  <c r="AF5" i="11" s="1"/>
  <c r="AG5" i="11" s="1"/>
  <c r="AH5" i="11" s="1"/>
  <c r="AD4" i="11"/>
  <c r="L6" i="11"/>
  <c r="AI5" i="11" l="1"/>
  <c r="F19" i="11"/>
  <c r="E21" i="11" s="1"/>
  <c r="H19" i="11"/>
  <c r="M6" i="11"/>
  <c r="AI6" i="11" l="1"/>
  <c r="AJ5" i="11"/>
  <c r="AK5" i="11" s="1"/>
  <c r="AL5" i="11" s="1"/>
  <c r="AM5" i="11" s="1"/>
  <c r="AN5" i="11" s="1"/>
  <c r="AO5" i="11" s="1"/>
  <c r="AP5" i="11" s="1"/>
  <c r="AQ5" i="11" s="1"/>
  <c r="F21" i="11"/>
  <c r="E22" i="11" s="1"/>
  <c r="H21" i="11"/>
  <c r="AR5" i="11"/>
  <c r="AS5" i="11" s="1"/>
  <c r="AK4" i="11"/>
  <c r="N6" i="11"/>
  <c r="F22" i="11" l="1"/>
  <c r="E23" i="11"/>
  <c r="H22" i="11"/>
  <c r="AT5" i="11"/>
  <c r="AS6" i="11"/>
  <c r="AR4" i="11"/>
  <c r="O6" i="11"/>
  <c r="F23" i="11" l="1"/>
  <c r="E24" i="11" s="1"/>
  <c r="H23" i="11"/>
  <c r="AU5" i="11"/>
  <c r="AT6" i="11"/>
  <c r="F24" i="11" l="1"/>
  <c r="E25" i="11" s="1"/>
  <c r="H24" i="11"/>
  <c r="AV5" i="11"/>
  <c r="AU6" i="11"/>
  <c r="P6" i="11"/>
  <c r="Q6" i="11"/>
  <c r="F25" i="11" l="1"/>
  <c r="E27" i="11" s="1"/>
  <c r="H25" i="11"/>
  <c r="AW5" i="11"/>
  <c r="AV6" i="11"/>
  <c r="R6" i="11"/>
  <c r="F27" i="11" l="1"/>
  <c r="E28" i="11" s="1"/>
  <c r="H27" i="11"/>
  <c r="AX5" i="11"/>
  <c r="AY5" i="11" s="1"/>
  <c r="AW6" i="11"/>
  <c r="S6" i="11"/>
  <c r="F28" i="11" l="1"/>
  <c r="E29" i="11" s="1"/>
  <c r="H28" i="11"/>
  <c r="AY6" i="11"/>
  <c r="AZ5" i="11"/>
  <c r="AY4" i="11"/>
  <c r="AX6" i="11"/>
  <c r="T6" i="11"/>
  <c r="F29" i="11" l="1"/>
  <c r="E30" i="11" s="1"/>
  <c r="H29" i="11"/>
  <c r="BA5" i="11"/>
  <c r="AZ6" i="11"/>
  <c r="U6" i="11"/>
  <c r="F30" i="11" l="1"/>
  <c r="E31" i="11" s="1"/>
  <c r="H30" i="11"/>
  <c r="BA6" i="11"/>
  <c r="BB5" i="11"/>
  <c r="V6" i="11"/>
  <c r="F31" i="11" l="1"/>
  <c r="H31" i="11"/>
  <c r="BB6" i="11"/>
  <c r="BC5" i="11"/>
  <c r="W6" i="11"/>
  <c r="E33" i="11" l="1"/>
  <c r="F33" i="11" s="1"/>
  <c r="E34" i="11" s="1"/>
  <c r="F34" i="11" s="1"/>
  <c r="H32" i="11"/>
  <c r="BC6" i="11"/>
  <c r="BD5" i="11"/>
  <c r="X6" i="11"/>
  <c r="H33" i="11" l="1"/>
  <c r="BE5" i="11"/>
  <c r="BD6" i="11"/>
  <c r="Y6" i="11"/>
  <c r="H34" i="11" l="1"/>
  <c r="BE6" i="11"/>
  <c r="BF5" i="11"/>
  <c r="Z6" i="11"/>
  <c r="BF6" i="11" l="1"/>
  <c r="BG5" i="11"/>
  <c r="BF4" i="11"/>
  <c r="AA6" i="11"/>
  <c r="BG6" i="11" l="1"/>
  <c r="BH5" i="11"/>
  <c r="AB6" i="11"/>
  <c r="BI5" i="11" l="1"/>
  <c r="BH6" i="11"/>
  <c r="AC6" i="11"/>
  <c r="BJ5" i="11" l="1"/>
  <c r="BI6" i="11"/>
  <c r="AD6" i="11"/>
  <c r="BK5" i="11" l="1"/>
  <c r="BJ6" i="11"/>
  <c r="AE6" i="11"/>
  <c r="BL5" i="11" l="1"/>
  <c r="BM5" i="11" s="1"/>
  <c r="BK6" i="11"/>
  <c r="AF6" i="11"/>
  <c r="BM4" i="11" l="1"/>
  <c r="BN5" i="11"/>
  <c r="BM6" i="11"/>
  <c r="BL6" i="11"/>
  <c r="AG6" i="11"/>
  <c r="BO5" i="11" l="1"/>
  <c r="BN6" i="11"/>
  <c r="AH6" i="11"/>
  <c r="BP5" i="11" l="1"/>
  <c r="BO6" i="11"/>
  <c r="BQ5" i="11" l="1"/>
  <c r="BP6" i="11"/>
  <c r="AJ6" i="11"/>
  <c r="BR5" i="11" l="1"/>
  <c r="BQ6" i="11"/>
  <c r="AK6" i="11"/>
  <c r="BS5" i="11" l="1"/>
  <c r="BR6" i="11"/>
  <c r="AL6" i="11"/>
  <c r="BT5" i="11" l="1"/>
  <c r="BS6" i="11"/>
  <c r="AM6" i="11"/>
  <c r="BT4" i="11" l="1"/>
  <c r="BU5" i="11"/>
  <c r="BT6" i="11"/>
  <c r="AN6" i="11"/>
  <c r="BV5" i="11" l="1"/>
  <c r="BU6" i="11"/>
  <c r="AO6" i="11"/>
  <c r="BW5" i="11" l="1"/>
  <c r="BV6" i="11"/>
  <c r="AP6" i="11"/>
  <c r="BX5" i="11" l="1"/>
  <c r="BW6" i="11"/>
  <c r="AQ6" i="11"/>
  <c r="BY5" i="11" l="1"/>
  <c r="BX6" i="11"/>
  <c r="AR6" i="11"/>
  <c r="BZ5" i="11" l="1"/>
  <c r="BY6" i="11"/>
  <c r="CA5" i="11" l="1"/>
  <c r="BZ6" i="11"/>
  <c r="CA4" i="11" l="1"/>
  <c r="CB5" i="11"/>
  <c r="CA6" i="11"/>
  <c r="CC5" i="11" l="1"/>
  <c r="CB6" i="11"/>
  <c r="CD5" i="11" l="1"/>
  <c r="CC6" i="11"/>
  <c r="CE5" i="11" l="1"/>
  <c r="CD6" i="11"/>
  <c r="CF5" i="11" l="1"/>
  <c r="CE6" i="11"/>
  <c r="CG5" i="11" l="1"/>
  <c r="CF6" i="11"/>
  <c r="CH5" i="11" l="1"/>
  <c r="CG6" i="11"/>
  <c r="CH4" i="11" l="1"/>
  <c r="CI5" i="11"/>
  <c r="CH6" i="11"/>
  <c r="CJ5" i="11" l="1"/>
  <c r="CI6" i="11"/>
  <c r="CK5" i="11" l="1"/>
  <c r="CJ6" i="11"/>
  <c r="CL5" i="11" l="1"/>
  <c r="CK6" i="11"/>
  <c r="CM5" i="11" l="1"/>
  <c r="CL6" i="11"/>
  <c r="CN5" i="11" l="1"/>
  <c r="CM6" i="11"/>
  <c r="CO5" i="11" l="1"/>
  <c r="CN6" i="11"/>
  <c r="CO4" i="11" l="1"/>
  <c r="CP5" i="11"/>
  <c r="CO6" i="11"/>
  <c r="CQ5" i="11" l="1"/>
  <c r="CP6" i="11"/>
  <c r="CR5" i="11" l="1"/>
  <c r="CQ6" i="11"/>
  <c r="CS5" i="11" l="1"/>
  <c r="CR6" i="11"/>
  <c r="CT5" i="11" l="1"/>
  <c r="CS6" i="11"/>
  <c r="CU5" i="11" l="1"/>
  <c r="CT6" i="11"/>
  <c r="CV5" i="11" l="1"/>
  <c r="CU6" i="11"/>
  <c r="CV4" i="11" l="1"/>
  <c r="CW5" i="11"/>
  <c r="CV6" i="11"/>
  <c r="CX5" i="11" l="1"/>
  <c r="CW6" i="11"/>
  <c r="CY5" i="11" l="1"/>
  <c r="CX6" i="11"/>
  <c r="CZ5" i="11" l="1"/>
  <c r="CY6" i="11"/>
  <c r="DA5" i="11" l="1"/>
  <c r="CZ6" i="11"/>
  <c r="DB5" i="11" l="1"/>
  <c r="DA6" i="11"/>
  <c r="DC5" i="11" l="1"/>
  <c r="DB6" i="11"/>
  <c r="DC4" i="11" l="1"/>
  <c r="DD5" i="11"/>
  <c r="DC6" i="11"/>
  <c r="DE5" i="11" l="1"/>
  <c r="DD6" i="11"/>
  <c r="DF5" i="11" l="1"/>
  <c r="DE6" i="11"/>
  <c r="DG5" i="11" l="1"/>
  <c r="DF6" i="11"/>
  <c r="DH5" i="11" l="1"/>
  <c r="DG6" i="11"/>
  <c r="DI5" i="11" l="1"/>
  <c r="DI6" i="11" s="1"/>
  <c r="DH6" i="11"/>
</calcChain>
</file>

<file path=xl/sharedStrings.xml><?xml version="1.0" encoding="utf-8"?>
<sst xmlns="http://schemas.openxmlformats.org/spreadsheetml/2006/main" count="74" uniqueCount="58">
  <si>
    <t xml:space="preserve"> Sistema de Gestão Integrada para Cadeia de Lojas de Conveniência</t>
  </si>
  <si>
    <t>Project start:</t>
  </si>
  <si>
    <t>LI4 - Grupo 9</t>
  </si>
  <si>
    <t>Display week:</t>
  </si>
  <si>
    <t>TASK</t>
  </si>
  <si>
    <t>ASSIGNED TO</t>
  </si>
  <si>
    <t>PROGRESS</t>
  </si>
  <si>
    <t>START</t>
  </si>
  <si>
    <t>END</t>
  </si>
  <si>
    <t xml:space="preserve">Do not delete this row. This row is hidden to preserve a formula that is used to highlight the current day within the project schedule. </t>
  </si>
  <si>
    <t>Fase 1 - Engenharia de Requisitos</t>
  </si>
  <si>
    <t>Análise do problema e definição do domínio do sistema (diagrama de domínio)</t>
  </si>
  <si>
    <t>Gonçalo Castro</t>
  </si>
  <si>
    <r>
      <rPr>
        <sz val="10"/>
        <color rgb="FF000000"/>
        <rFont val="Arial"/>
        <scheme val="minor"/>
      </rPr>
      <t xml:space="preserve">Identificação de </t>
    </r>
    <r>
      <rPr>
        <i/>
        <sz val="10"/>
        <color rgb="FF000000"/>
        <rFont val="Arial"/>
        <scheme val="minor"/>
      </rPr>
      <t>stakeholders</t>
    </r>
    <r>
      <rPr>
        <sz val="10"/>
        <color rgb="FF000000"/>
        <rFont val="Arial"/>
        <scheme val="minor"/>
      </rPr>
      <t xml:space="preserve"> e análise de contexto</t>
    </r>
  </si>
  <si>
    <t>Afonso Martins</t>
  </si>
  <si>
    <r>
      <rPr>
        <sz val="10"/>
        <color rgb="FF000000"/>
        <rFont val="Arial"/>
        <scheme val="minor"/>
      </rPr>
      <t xml:space="preserve">Elicitação de requisitos e geração de </t>
    </r>
    <r>
      <rPr>
        <i/>
        <sz val="10"/>
        <color rgb="FF000000"/>
        <rFont val="Arial"/>
        <scheme val="minor"/>
      </rPr>
      <t>user stories</t>
    </r>
  </si>
  <si>
    <t>Francisco Lage</t>
  </si>
  <si>
    <t>Definição de requisitos funcionais e não funcionais (Elaboração do SRS)</t>
  </si>
  <si>
    <t>Ricardo Neves</t>
  </si>
  <si>
    <r>
      <rPr>
        <sz val="10"/>
        <color rgb="FF000000"/>
        <rFont val="Arial"/>
        <scheme val="minor"/>
      </rPr>
      <t xml:space="preserve">Especificação de Casos de Uso do Sistema (diagrama de </t>
    </r>
    <r>
      <rPr>
        <i/>
        <sz val="10"/>
        <color rgb="FF000000"/>
        <rFont val="Arial"/>
        <scheme val="minor"/>
      </rPr>
      <t>Use Cases</t>
    </r>
    <r>
      <rPr>
        <sz val="10"/>
        <color rgb="FF000000"/>
        <rFont val="Arial"/>
        <scheme val="minor"/>
      </rPr>
      <t xml:space="preserve">) </t>
    </r>
  </si>
  <si>
    <t>Guilherme Costa</t>
  </si>
  <si>
    <t>Fase 2 - Arquitetura e Design do Software</t>
  </si>
  <si>
    <t>Definição da arquitetura global do sistema</t>
  </si>
  <si>
    <t>Modelação do diagrama de classes</t>
  </si>
  <si>
    <t>Desenvolvimento de diagramas de sequência</t>
  </si>
  <si>
    <t>Definição dos componentes e interfaces do sistema</t>
  </si>
  <si>
    <t>Documentação da arquitetura e decisões de design</t>
  </si>
  <si>
    <t>Fase 3 - Implementação e Desenvolvimento</t>
  </si>
  <si>
    <t>Configuração do ambiente de desenvolvimento e estrutura do projeto</t>
  </si>
  <si>
    <t>Implementação da persistência de dados</t>
  </si>
  <si>
    <t>Implementação da API e lógica de negócio</t>
  </si>
  <si>
    <t>Desenvolvimento da interface gráfica do utilizador</t>
  </si>
  <si>
    <t>Revisão de código, refactoring e integração dos módulos</t>
  </si>
  <si>
    <t>Evaluation</t>
  </si>
  <si>
    <t>Planeamento da estratégia de testes</t>
  </si>
  <si>
    <t>Desenvolvimento de testes unitários</t>
  </si>
  <si>
    <t>Testes de integração entre módulos</t>
  </si>
  <si>
    <t>Testes de sistema e testes de aceitação</t>
  </si>
  <si>
    <t>Análise de qualidade, cobertura e relatório de testes</t>
  </si>
  <si>
    <t>Preparação Final e Entrega</t>
  </si>
  <si>
    <t>Preparação da documentação final e guia de utilização</t>
  </si>
  <si>
    <t>Todos</t>
  </si>
  <si>
    <t>Preparação da apresentação final do projeto</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</si>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</sst>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d/m/yyyy;@"/>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16"/>
      <color rgb="FF1363DF"/>
      <name val="Arial Black"/>
      <scheme val="major"/>
    </font>
    <font>
      <sz val="10"/>
      <color rgb="FF000000"/>
      <name val="Arial"/>
      <scheme val="minor"/>
    </font>
    <font>
      <i/>
      <sz val="10"/>
      <color rgb="FF000000"/>
      <name val="Arial"/>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s>
  <borders count="2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style="thin">
        <color theme="9"/>
      </left>
      <right style="thin">
        <color theme="9"/>
      </right>
      <top style="thin">
        <color theme="9"/>
      </top>
      <bottom style="thin">
        <color theme="9"/>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9" fillId="12" borderId="20" xfId="0" applyNumberFormat="1" applyFont="1" applyFill="1" applyBorder="1" applyAlignment="1">
      <alignment horizontal="center" vertical="center"/>
    </xf>
    <xf numFmtId="168" fontId="19" fillId="12" borderId="18" xfId="0" applyNumberFormat="1" applyFont="1" applyFill="1" applyBorder="1" applyAlignment="1">
      <alignment horizontal="center" vertical="center"/>
    </xf>
    <xf numFmtId="168"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0" fontId="17" fillId="0" borderId="0" xfId="12" applyFont="1" applyBorder="1">
      <alignment horizontal="left" vertical="center" indent="2"/>
    </xf>
    <xf numFmtId="0" fontId="17" fillId="0" borderId="0" xfId="11" applyFont="1" applyBorder="1" applyAlignment="1">
      <alignment vertical="center"/>
    </xf>
    <xf numFmtId="9" fontId="1" fillId="0" borderId="0" xfId="2" applyFont="1" applyBorder="1" applyAlignment="1">
      <alignment horizontal="center" vertical="center"/>
    </xf>
    <xf numFmtId="165" fontId="17" fillId="0" borderId="0" xfId="10"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9" fontId="1" fillId="2" borderId="0" xfId="2" applyFont="1" applyFill="1" applyBorder="1" applyAlignment="1">
      <alignment horizontal="center" vertical="center"/>
    </xf>
    <xf numFmtId="165" fontId="23"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4" fillId="0" borderId="0" xfId="6" applyFont="1" applyAlignment="1">
      <alignment horizontal="left" vertical="center" indent="1"/>
    </xf>
    <xf numFmtId="0" fontId="24"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0" fontId="30" fillId="3" borderId="7" xfId="12" applyFont="1" applyFill="1" applyBorder="1">
      <alignment horizontal="left" vertical="center" indent="2"/>
    </xf>
    <xf numFmtId="169" fontId="17" fillId="3" borderId="6" xfId="10" applyNumberFormat="1" applyFont="1" applyFill="1" applyBorder="1">
      <alignment horizontal="center" vertical="center"/>
    </xf>
    <xf numFmtId="169" fontId="17" fillId="3" borderId="7" xfId="10" applyNumberFormat="1" applyFont="1" applyFill="1" applyBorder="1">
      <alignment horizontal="center" vertical="center"/>
    </xf>
    <xf numFmtId="169" fontId="17" fillId="7" borderId="0" xfId="0" applyNumberFormat="1" applyFont="1" applyFill="1" applyAlignment="1">
      <alignment horizontal="center" vertical="center"/>
    </xf>
    <xf numFmtId="169" fontId="1" fillId="7" borderId="0" xfId="0" applyNumberFormat="1" applyFont="1" applyFill="1" applyAlignment="1">
      <alignment horizontal="center" vertical="center"/>
    </xf>
    <xf numFmtId="169" fontId="17" fillId="4" borderId="5" xfId="10" applyNumberFormat="1" applyFont="1" applyFill="1" applyBorder="1">
      <alignment horizontal="center" vertical="center"/>
    </xf>
    <xf numFmtId="169" fontId="17"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7" fillId="5" borderId="8" xfId="10" applyNumberFormat="1" applyFont="1" applyFill="1" applyBorder="1">
      <alignment horizontal="center" vertical="center"/>
    </xf>
    <xf numFmtId="169" fontId="17" fillId="9" borderId="0" xfId="0" applyNumberFormat="1" applyFont="1" applyFill="1" applyAlignment="1">
      <alignment horizontal="center" vertical="center"/>
    </xf>
    <xf numFmtId="169" fontId="1" fillId="9" borderId="0" xfId="0" applyNumberFormat="1" applyFont="1" applyFill="1" applyAlignment="1">
      <alignment horizontal="center" vertical="center"/>
    </xf>
    <xf numFmtId="169" fontId="17" fillId="10" borderId="9" xfId="10" applyNumberFormat="1" applyFont="1" applyFill="1" applyBorder="1">
      <alignment horizontal="center" vertical="center"/>
    </xf>
    <xf numFmtId="0" fontId="21" fillId="13" borderId="0" xfId="0" applyFont="1" applyFill="1" applyAlignment="1">
      <alignment horizontal="left" vertical="center" indent="1"/>
    </xf>
    <xf numFmtId="0" fontId="17" fillId="13" borderId="0" xfId="11" applyFont="1" applyFill="1" applyBorder="1" applyAlignment="1">
      <alignment vertical="center"/>
    </xf>
    <xf numFmtId="9" fontId="1" fillId="13" borderId="0" xfId="2" applyFont="1" applyFill="1" applyBorder="1" applyAlignment="1">
      <alignment horizontal="center" vertical="center"/>
    </xf>
    <xf numFmtId="169" fontId="17" fillId="13" borderId="0" xfId="0" applyNumberFormat="1" applyFont="1" applyFill="1" applyAlignment="1">
      <alignment horizontal="center" vertical="center"/>
    </xf>
    <xf numFmtId="169" fontId="1" fillId="13" borderId="0" xfId="0" applyNumberFormat="1" applyFont="1" applyFill="1" applyAlignment="1">
      <alignment horizontal="center" vertical="center"/>
    </xf>
    <xf numFmtId="0" fontId="17" fillId="14" borderId="9" xfId="12" applyFont="1" applyFill="1" applyBorder="1">
      <alignment horizontal="left" vertical="center" indent="2"/>
    </xf>
    <xf numFmtId="0" fontId="17" fillId="14" borderId="9" xfId="11" applyFont="1" applyFill="1" applyBorder="1" applyAlignment="1">
      <alignment vertical="center"/>
    </xf>
    <xf numFmtId="9" fontId="1" fillId="14" borderId="9" xfId="2" applyFont="1" applyFill="1" applyBorder="1" applyAlignment="1">
      <alignment horizontal="center" vertical="center"/>
    </xf>
    <xf numFmtId="169" fontId="17" fillId="14" borderId="9" xfId="10" applyNumberFormat="1" applyFont="1" applyFill="1" applyBorder="1">
      <alignment horizontal="center"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15" borderId="26" xfId="0" applyFont="1" applyFill="1" applyBorder="1" applyAlignment="1">
      <alignment vertical="center"/>
    </xf>
    <xf numFmtId="0" fontId="4" fillId="0" borderId="27" xfId="0" applyFont="1" applyBorder="1" applyAlignment="1">
      <alignment vertical="center"/>
    </xf>
    <xf numFmtId="0" fontId="4" fillId="0" borderId="28" xfId="0" applyFont="1" applyBorder="1" applyAlignment="1">
      <alignment vertical="center"/>
    </xf>
    <xf numFmtId="167" fontId="17" fillId="2" borderId="13" xfId="0" applyNumberFormat="1" applyFont="1" applyFill="1" applyBorder="1" applyAlignment="1">
      <alignment horizontal="center" vertical="center" wrapText="1"/>
    </xf>
    <xf numFmtId="167" fontId="17" fillId="2" borderId="19" xfId="0" applyNumberFormat="1" applyFont="1" applyFill="1" applyBorder="1" applyAlignment="1">
      <alignment horizontal="center" vertical="center" wrapText="1"/>
    </xf>
    <xf numFmtId="0" fontId="13"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18" fillId="11" borderId="16" xfId="0" applyFont="1" applyFill="1" applyBorder="1" applyAlignment="1">
      <alignment horizontal="center" vertical="center"/>
    </xf>
    <xf numFmtId="0" fontId="25" fillId="0" borderId="0" xfId="0" applyFont="1" applyAlignment="1">
      <alignment horizontal="left"/>
    </xf>
    <xf numFmtId="166" fontId="25" fillId="0" borderId="0" xfId="9" applyFont="1" applyBorder="1" applyAlignment="1">
      <alignment horizontal="left"/>
    </xf>
    <xf numFmtId="0" fontId="24" fillId="0" borderId="0" xfId="8" applyFont="1" applyAlignment="1">
      <alignment horizontal="left"/>
    </xf>
    <xf numFmtId="0" fontId="29" fillId="0" borderId="0" xfId="5" applyFont="1" applyAlignment="1">
      <alignment horizontal="left" wrapText="1"/>
    </xf>
    <xf numFmtId="167" fontId="17" fillId="2" borderId="18" xfId="0" applyNumberFormat="1" applyFont="1" applyFill="1" applyBorder="1" applyAlignment="1">
      <alignment horizontal="center" vertical="center" wrapText="1"/>
    </xf>
    <xf numFmtId="167" fontId="17" fillId="2" borderId="20" xfId="0" applyNumberFormat="1" applyFont="1" applyFill="1" applyBorder="1" applyAlignment="1">
      <alignment horizontal="center" vertical="center" wrapText="1"/>
    </xf>
    <xf numFmtId="0" fontId="4" fillId="0" borderId="0" xfId="0" applyFont="1" applyAlignment="1"/>
    <xf numFmtId="0" fontId="26" fillId="0" borderId="0" xfId="0" applyFont="1" applyAlignment="1"/>
    <xf numFmtId="0" fontId="4" fillId="2" borderId="21" xfId="0" applyFont="1" applyFill="1" applyBorder="1" applyAlignment="1"/>
  </cellXfs>
  <cellStyles count="13">
    <cellStyle name="Cabeçalho 1" xfId="6" builtinId="16" customBuiltin="1"/>
    <cellStyle name="Cabeçalho 2" xfId="7" builtinId="17" customBuiltin="1"/>
    <cellStyle name="Cabeçalho 3" xfId="8" builtinId="18" customBuiltin="1"/>
    <cellStyle name="Date" xfId="10" xr:uid="{229918B6-DD13-4F5A-97B9-305F7E002AA3}"/>
    <cellStyle name="Hiperligação" xfId="1" builtinId="8" customBuiltin="1"/>
    <cellStyle name="Name" xfId="11" xr:uid="{B2D3C1EE-6B41-4801-AAFC-C2274E49E503}"/>
    <cellStyle name="Normal" xfId="0" builtinId="0"/>
    <cellStyle name="Percentagem" xfId="2" builtinId="5"/>
    <cellStyle name="Project Start" xfId="9" xr:uid="{8EB8A09A-C31C-40A3-B2C1-9449520178B8}"/>
    <cellStyle name="Task" xfId="12" xr:uid="{6391D789-272B-4DD2-9BF3-2CDCF610FA41}"/>
    <cellStyle name="Título" xfId="5" builtinId="15" customBuiltin="1"/>
    <cellStyle name="Vírgula" xfId="4" builtinId="3" customBuiltin="1"/>
    <cellStyle name="zHiddenText" xfId="3" xr:uid="{26E66EE6-E33F-4D77-BAE4-0FB4F5BBF673}"/>
  </cellStyles>
  <dxfs count="25">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39"/>
  <sheetViews>
    <sheetView showGridLines="0" tabSelected="1" showRuler="0" topLeftCell="B16" zoomScaleNormal="100" zoomScalePageLayoutView="70" workbookViewId="0">
      <selection activeCell="BW38" sqref="BW38"/>
    </sheetView>
  </sheetViews>
  <sheetFormatPr defaultColWidth="8.75" defaultRowHeight="30" customHeight="1"/>
  <cols>
    <col min="1" max="1" width="2.75" style="13" customWidth="1"/>
    <col min="2" max="2" width="61.75" bestFit="1"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 min="66" max="82" width="2.5" bestFit="1" customWidth="1"/>
    <col min="83" max="83" width="2.125" customWidth="1"/>
    <col min="84" max="84" width="2" customWidth="1"/>
    <col min="85" max="86" width="2.5" customWidth="1"/>
    <col min="87" max="87" width="2.375" customWidth="1"/>
    <col min="88" max="90" width="2.25" customWidth="1"/>
    <col min="91" max="91" width="2" customWidth="1"/>
    <col min="92" max="113" width="2.5" bestFit="1" customWidth="1"/>
  </cols>
  <sheetData>
    <row r="1" spans="1:113" ht="48" customHeight="1">
      <c r="A1" s="14"/>
      <c r="B1" s="128" t="s">
        <v>0</v>
      </c>
      <c r="C1" s="128"/>
      <c r="D1" s="128"/>
      <c r="E1" s="128"/>
      <c r="F1" s="128"/>
      <c r="G1" s="128"/>
      <c r="H1" s="1"/>
      <c r="I1" s="127" t="s">
        <v>1</v>
      </c>
      <c r="J1" s="131"/>
      <c r="K1" s="131"/>
      <c r="L1" s="131"/>
      <c r="M1" s="131"/>
      <c r="N1" s="131"/>
      <c r="O1" s="131"/>
      <c r="P1" s="20"/>
      <c r="Q1" s="126">
        <f>DATE(2026,2,20)</f>
        <v>46073</v>
      </c>
      <c r="R1" s="132"/>
      <c r="S1" s="132"/>
      <c r="T1" s="132"/>
      <c r="U1" s="132"/>
      <c r="V1" s="132"/>
      <c r="W1" s="132"/>
      <c r="X1" s="132"/>
      <c r="Y1" s="132"/>
      <c r="Z1" s="132"/>
    </row>
    <row r="2" spans="1:113" ht="30" customHeight="1">
      <c r="B2" s="81" t="s">
        <v>2</v>
      </c>
      <c r="C2" s="82"/>
      <c r="D2" s="18"/>
      <c r="E2" s="19"/>
      <c r="F2" s="18"/>
      <c r="I2" s="127" t="s">
        <v>3</v>
      </c>
      <c r="J2" s="131"/>
      <c r="K2" s="131"/>
      <c r="L2" s="131"/>
      <c r="M2" s="131"/>
      <c r="N2" s="131"/>
      <c r="O2" s="131"/>
      <c r="P2" s="20"/>
      <c r="Q2" s="125">
        <v>1</v>
      </c>
      <c r="R2" s="132"/>
      <c r="S2" s="132"/>
      <c r="T2" s="132"/>
      <c r="U2" s="132"/>
      <c r="V2" s="132"/>
      <c r="W2" s="132"/>
      <c r="X2" s="132"/>
      <c r="Y2" s="132"/>
      <c r="Z2" s="132"/>
    </row>
    <row r="3" spans="1:113" s="22" customFormat="1" ht="30" customHeight="1">
      <c r="A3" s="13"/>
      <c r="B3" s="21"/>
      <c r="D3" s="23"/>
      <c r="E3" s="24"/>
    </row>
    <row r="4" spans="1:113" s="22" customFormat="1" ht="30" customHeight="1">
      <c r="A4" s="14"/>
      <c r="B4" s="25"/>
      <c r="E4" s="26"/>
      <c r="I4" s="129">
        <f>I5</f>
        <v>46069</v>
      </c>
      <c r="J4" s="118"/>
      <c r="K4" s="118"/>
      <c r="L4" s="118"/>
      <c r="M4" s="118"/>
      <c r="N4" s="118"/>
      <c r="O4" s="118"/>
      <c r="P4" s="118">
        <f>P5</f>
        <v>46076</v>
      </c>
      <c r="Q4" s="118"/>
      <c r="R4" s="118"/>
      <c r="S4" s="118"/>
      <c r="T4" s="118"/>
      <c r="U4" s="118"/>
      <c r="V4" s="118"/>
      <c r="W4" s="118">
        <f>W5</f>
        <v>46083</v>
      </c>
      <c r="X4" s="118"/>
      <c r="Y4" s="118"/>
      <c r="Z4" s="118"/>
      <c r="AA4" s="118"/>
      <c r="AB4" s="118"/>
      <c r="AC4" s="118"/>
      <c r="AD4" s="119">
        <f>AD5</f>
        <v>46090</v>
      </c>
      <c r="AE4" s="130"/>
      <c r="AF4" s="130"/>
      <c r="AG4" s="130"/>
      <c r="AH4" s="130"/>
      <c r="AI4" s="130"/>
      <c r="AJ4" s="129"/>
      <c r="AK4" s="118">
        <f>AK5</f>
        <v>46097</v>
      </c>
      <c r="AL4" s="118"/>
      <c r="AM4" s="118"/>
      <c r="AN4" s="118"/>
      <c r="AO4" s="118"/>
      <c r="AP4" s="118"/>
      <c r="AQ4" s="118"/>
      <c r="AR4" s="118">
        <f>AR5</f>
        <v>46104</v>
      </c>
      <c r="AS4" s="118"/>
      <c r="AT4" s="118"/>
      <c r="AU4" s="118"/>
      <c r="AV4" s="118"/>
      <c r="AW4" s="118"/>
      <c r="AX4" s="118"/>
      <c r="AY4" s="118">
        <f>AY5</f>
        <v>46111</v>
      </c>
      <c r="AZ4" s="118"/>
      <c r="BA4" s="118"/>
      <c r="BB4" s="118"/>
      <c r="BC4" s="118"/>
      <c r="BD4" s="118"/>
      <c r="BE4" s="118"/>
      <c r="BF4" s="118">
        <f>BF5</f>
        <v>46118</v>
      </c>
      <c r="BG4" s="118"/>
      <c r="BH4" s="118"/>
      <c r="BI4" s="118"/>
      <c r="BJ4" s="118"/>
      <c r="BK4" s="118"/>
      <c r="BL4" s="119"/>
      <c r="BM4" s="118">
        <f>BM5</f>
        <v>46125</v>
      </c>
      <c r="BN4" s="118"/>
      <c r="BO4" s="118"/>
      <c r="BP4" s="118"/>
      <c r="BQ4" s="118"/>
      <c r="BR4" s="118"/>
      <c r="BS4" s="119"/>
      <c r="BT4" s="118">
        <f t="shared" ref="BT4" si="0">BT5</f>
        <v>46132</v>
      </c>
      <c r="BU4" s="118"/>
      <c r="BV4" s="118"/>
      <c r="BW4" s="118"/>
      <c r="BX4" s="118"/>
      <c r="BY4" s="118"/>
      <c r="BZ4" s="119"/>
      <c r="CA4" s="118">
        <f t="shared" ref="CA4" si="1">CA5</f>
        <v>46139</v>
      </c>
      <c r="CB4" s="118"/>
      <c r="CC4" s="118"/>
      <c r="CD4" s="118"/>
      <c r="CE4" s="118"/>
      <c r="CF4" s="118"/>
      <c r="CG4" s="119"/>
      <c r="CH4" s="118">
        <f t="shared" ref="CH4" si="2">CH5</f>
        <v>46146</v>
      </c>
      <c r="CI4" s="118"/>
      <c r="CJ4" s="118"/>
      <c r="CK4" s="118"/>
      <c r="CL4" s="118"/>
      <c r="CM4" s="118"/>
      <c r="CN4" s="119"/>
      <c r="CO4" s="118">
        <f t="shared" ref="CO4" si="3">CO5</f>
        <v>46153</v>
      </c>
      <c r="CP4" s="118"/>
      <c r="CQ4" s="118"/>
      <c r="CR4" s="118"/>
      <c r="CS4" s="118"/>
      <c r="CT4" s="118"/>
      <c r="CU4" s="119"/>
      <c r="CV4" s="118">
        <f t="shared" ref="CV4" si="4">CV5</f>
        <v>46160</v>
      </c>
      <c r="CW4" s="118"/>
      <c r="CX4" s="118"/>
      <c r="CY4" s="118"/>
      <c r="CZ4" s="118"/>
      <c r="DA4" s="118"/>
      <c r="DB4" s="119"/>
      <c r="DC4" s="118">
        <f t="shared" ref="DC4" si="5">DC5</f>
        <v>46167</v>
      </c>
      <c r="DD4" s="118"/>
      <c r="DE4" s="118"/>
      <c r="DF4" s="118"/>
      <c r="DG4" s="118"/>
      <c r="DH4" s="118"/>
      <c r="DI4" s="119"/>
    </row>
    <row r="5" spans="1:113" s="22" customFormat="1" ht="15" customHeight="1">
      <c r="A5" s="120"/>
      <c r="B5" s="121" t="s">
        <v>4</v>
      </c>
      <c r="C5" s="123" t="s">
        <v>5</v>
      </c>
      <c r="D5" s="124" t="s">
        <v>6</v>
      </c>
      <c r="E5" s="124" t="s">
        <v>7</v>
      </c>
      <c r="F5" s="124" t="s">
        <v>8</v>
      </c>
      <c r="I5" s="27">
        <f>Project_Start-WEEKDAY(Project_Start,1)+2+7*(Display_Week-1)</f>
        <v>46069</v>
      </c>
      <c r="J5" s="27">
        <f>I5+1</f>
        <v>46070</v>
      </c>
      <c r="K5" s="27">
        <f t="shared" ref="K5:AX5" si="6">J5+1</f>
        <v>46071</v>
      </c>
      <c r="L5" s="27">
        <f t="shared" si="6"/>
        <v>46072</v>
      </c>
      <c r="M5" s="27">
        <f t="shared" si="6"/>
        <v>46073</v>
      </c>
      <c r="N5" s="27">
        <f t="shared" si="6"/>
        <v>46074</v>
      </c>
      <c r="O5" s="28">
        <f t="shared" si="6"/>
        <v>46075</v>
      </c>
      <c r="P5" s="29">
        <f>O5+1</f>
        <v>46076</v>
      </c>
      <c r="Q5" s="27">
        <f>P5+1</f>
        <v>46077</v>
      </c>
      <c r="R5" s="27">
        <f t="shared" si="6"/>
        <v>46078</v>
      </c>
      <c r="S5" s="27">
        <f t="shared" si="6"/>
        <v>46079</v>
      </c>
      <c r="T5" s="27">
        <f t="shared" si="6"/>
        <v>46080</v>
      </c>
      <c r="U5" s="27">
        <f t="shared" si="6"/>
        <v>46081</v>
      </c>
      <c r="V5" s="28">
        <f t="shared" si="6"/>
        <v>46082</v>
      </c>
      <c r="W5" s="29">
        <f>V5+1</f>
        <v>46083</v>
      </c>
      <c r="X5" s="27">
        <f>W5+1</f>
        <v>46084</v>
      </c>
      <c r="Y5" s="27">
        <f t="shared" si="6"/>
        <v>46085</v>
      </c>
      <c r="Z5" s="27">
        <f t="shared" si="6"/>
        <v>46086</v>
      </c>
      <c r="AA5" s="27">
        <f t="shared" si="6"/>
        <v>46087</v>
      </c>
      <c r="AB5" s="27">
        <f t="shared" si="6"/>
        <v>46088</v>
      </c>
      <c r="AC5" s="28">
        <f t="shared" si="6"/>
        <v>46089</v>
      </c>
      <c r="AD5" s="29">
        <f>AC5+1</f>
        <v>46090</v>
      </c>
      <c r="AE5" s="27">
        <f>AD5+1</f>
        <v>46091</v>
      </c>
      <c r="AF5" s="27">
        <f t="shared" si="6"/>
        <v>46092</v>
      </c>
      <c r="AG5" s="27">
        <f t="shared" si="6"/>
        <v>46093</v>
      </c>
      <c r="AH5" s="27">
        <f t="shared" si="6"/>
        <v>46094</v>
      </c>
      <c r="AI5" s="27">
        <f t="shared" si="6"/>
        <v>46095</v>
      </c>
      <c r="AJ5" s="28">
        <f t="shared" si="6"/>
        <v>46096</v>
      </c>
      <c r="AK5" s="29">
        <f>AJ5+1</f>
        <v>46097</v>
      </c>
      <c r="AL5" s="27">
        <f>AK5+1</f>
        <v>46098</v>
      </c>
      <c r="AM5" s="27">
        <f t="shared" si="6"/>
        <v>46099</v>
      </c>
      <c r="AN5" s="27">
        <f t="shared" si="6"/>
        <v>46100</v>
      </c>
      <c r="AO5" s="27">
        <f t="shared" si="6"/>
        <v>46101</v>
      </c>
      <c r="AP5" s="27">
        <f t="shared" si="6"/>
        <v>46102</v>
      </c>
      <c r="AQ5" s="28">
        <f t="shared" si="6"/>
        <v>46103</v>
      </c>
      <c r="AR5" s="29">
        <f>AQ5+1</f>
        <v>46104</v>
      </c>
      <c r="AS5" s="27">
        <f>AR5+1</f>
        <v>46105</v>
      </c>
      <c r="AT5" s="27">
        <f t="shared" si="6"/>
        <v>46106</v>
      </c>
      <c r="AU5" s="27">
        <f t="shared" si="6"/>
        <v>46107</v>
      </c>
      <c r="AV5" s="27">
        <f t="shared" si="6"/>
        <v>46108</v>
      </c>
      <c r="AW5" s="27">
        <f t="shared" si="6"/>
        <v>46109</v>
      </c>
      <c r="AX5" s="28">
        <f t="shared" si="6"/>
        <v>46110</v>
      </c>
      <c r="AY5" s="29">
        <f>AX5+1</f>
        <v>46111</v>
      </c>
      <c r="AZ5" s="27">
        <f>AY5+1</f>
        <v>46112</v>
      </c>
      <c r="BA5" s="27">
        <f t="shared" ref="BA5:BE5" si="7">AZ5+1</f>
        <v>46113</v>
      </c>
      <c r="BB5" s="27">
        <f t="shared" si="7"/>
        <v>46114</v>
      </c>
      <c r="BC5" s="27">
        <f t="shared" si="7"/>
        <v>46115</v>
      </c>
      <c r="BD5" s="27">
        <f t="shared" si="7"/>
        <v>46116</v>
      </c>
      <c r="BE5" s="28">
        <f t="shared" si="7"/>
        <v>46117</v>
      </c>
      <c r="BF5" s="29">
        <f>BE5+1</f>
        <v>46118</v>
      </c>
      <c r="BG5" s="27">
        <f>BF5+1</f>
        <v>46119</v>
      </c>
      <c r="BH5" s="27">
        <f t="shared" ref="BH5:BL5" si="8">BG5+1</f>
        <v>46120</v>
      </c>
      <c r="BI5" s="27">
        <f t="shared" si="8"/>
        <v>46121</v>
      </c>
      <c r="BJ5" s="27">
        <f t="shared" si="8"/>
        <v>46122</v>
      </c>
      <c r="BK5" s="27">
        <f t="shared" si="8"/>
        <v>46123</v>
      </c>
      <c r="BL5" s="27">
        <f t="shared" si="8"/>
        <v>46124</v>
      </c>
      <c r="BM5" s="29">
        <f>BL5+1</f>
        <v>46125</v>
      </c>
      <c r="BN5" s="27">
        <f>BM5+1</f>
        <v>46126</v>
      </c>
      <c r="BO5" s="27">
        <f t="shared" ref="BO5" si="9">BN5+1</f>
        <v>46127</v>
      </c>
      <c r="BP5" s="27">
        <f t="shared" ref="BP5" si="10">BO5+1</f>
        <v>46128</v>
      </c>
      <c r="BQ5" s="27">
        <f t="shared" ref="BQ5" si="11">BP5+1</f>
        <v>46129</v>
      </c>
      <c r="BR5" s="27">
        <f t="shared" ref="BR5" si="12">BQ5+1</f>
        <v>46130</v>
      </c>
      <c r="BS5" s="27">
        <f t="shared" ref="BS5:BU5" si="13">BR5+1</f>
        <v>46131</v>
      </c>
      <c r="BT5" s="29">
        <f t="shared" si="13"/>
        <v>46132</v>
      </c>
      <c r="BU5" s="27">
        <f t="shared" si="13"/>
        <v>46133</v>
      </c>
      <c r="BV5" s="27">
        <f t="shared" ref="BV5" si="14">BU5+1</f>
        <v>46134</v>
      </c>
      <c r="BW5" s="27">
        <f t="shared" ref="BW5" si="15">BV5+1</f>
        <v>46135</v>
      </c>
      <c r="BX5" s="27">
        <f t="shared" ref="BX5" si="16">BW5+1</f>
        <v>46136</v>
      </c>
      <c r="BY5" s="27">
        <f t="shared" ref="BY5" si="17">BX5+1</f>
        <v>46137</v>
      </c>
      <c r="BZ5" s="27">
        <f t="shared" ref="BZ5:CB5" si="18">BY5+1</f>
        <v>46138</v>
      </c>
      <c r="CA5" s="29">
        <f t="shared" si="18"/>
        <v>46139</v>
      </c>
      <c r="CB5" s="27">
        <f t="shared" si="18"/>
        <v>46140</v>
      </c>
      <c r="CC5" s="27">
        <f t="shared" ref="CC5" si="19">CB5+1</f>
        <v>46141</v>
      </c>
      <c r="CD5" s="27">
        <f t="shared" ref="CD5" si="20">CC5+1</f>
        <v>46142</v>
      </c>
      <c r="CE5" s="27">
        <f t="shared" ref="CE5" si="21">CD5+1</f>
        <v>46143</v>
      </c>
      <c r="CF5" s="27">
        <f t="shared" ref="CF5" si="22">CE5+1</f>
        <v>46144</v>
      </c>
      <c r="CG5" s="27">
        <f t="shared" ref="CG5" si="23">CF5+1</f>
        <v>46145</v>
      </c>
      <c r="CH5" s="29">
        <f t="shared" ref="CH5" si="24">CG5+1</f>
        <v>46146</v>
      </c>
      <c r="CI5" s="27">
        <f t="shared" ref="CI5" si="25">CH5+1</f>
        <v>46147</v>
      </c>
      <c r="CJ5" s="27">
        <f t="shared" ref="CJ5" si="26">CI5+1</f>
        <v>46148</v>
      </c>
      <c r="CK5" s="27">
        <f t="shared" ref="CK5" si="27">CJ5+1</f>
        <v>46149</v>
      </c>
      <c r="CL5" s="27">
        <f t="shared" ref="CL5" si="28">CK5+1</f>
        <v>46150</v>
      </c>
      <c r="CM5" s="27">
        <f t="shared" ref="CM5" si="29">CL5+1</f>
        <v>46151</v>
      </c>
      <c r="CN5" s="27">
        <f t="shared" ref="CN5" si="30">CM5+1</f>
        <v>46152</v>
      </c>
      <c r="CO5" s="29">
        <f t="shared" ref="CO5" si="31">CN5+1</f>
        <v>46153</v>
      </c>
      <c r="CP5" s="27">
        <f t="shared" ref="CP5" si="32">CO5+1</f>
        <v>46154</v>
      </c>
      <c r="CQ5" s="27">
        <f t="shared" ref="CQ5" si="33">CP5+1</f>
        <v>46155</v>
      </c>
      <c r="CR5" s="27">
        <f t="shared" ref="CR5" si="34">CQ5+1</f>
        <v>46156</v>
      </c>
      <c r="CS5" s="27">
        <f t="shared" ref="CS5" si="35">CR5+1</f>
        <v>46157</v>
      </c>
      <c r="CT5" s="27">
        <f t="shared" ref="CT5" si="36">CS5+1</f>
        <v>46158</v>
      </c>
      <c r="CU5" s="27">
        <f t="shared" ref="CU5" si="37">CT5+1</f>
        <v>46159</v>
      </c>
      <c r="CV5" s="29">
        <f t="shared" ref="CV5" si="38">CU5+1</f>
        <v>46160</v>
      </c>
      <c r="CW5" s="27">
        <f t="shared" ref="CW5" si="39">CV5+1</f>
        <v>46161</v>
      </c>
      <c r="CX5" s="27">
        <f t="shared" ref="CX5" si="40">CW5+1</f>
        <v>46162</v>
      </c>
      <c r="CY5" s="27">
        <f t="shared" ref="CY5" si="41">CX5+1</f>
        <v>46163</v>
      </c>
      <c r="CZ5" s="27">
        <f t="shared" ref="CZ5" si="42">CY5+1</f>
        <v>46164</v>
      </c>
      <c r="DA5" s="27">
        <f t="shared" ref="DA5" si="43">CZ5+1</f>
        <v>46165</v>
      </c>
      <c r="DB5" s="27">
        <f t="shared" ref="DB5" si="44">DA5+1</f>
        <v>46166</v>
      </c>
      <c r="DC5" s="29">
        <f t="shared" ref="DC5" si="45">DB5+1</f>
        <v>46167</v>
      </c>
      <c r="DD5" s="27">
        <f t="shared" ref="DD5" si="46">DC5+1</f>
        <v>46168</v>
      </c>
      <c r="DE5" s="27">
        <f t="shared" ref="DE5" si="47">DD5+1</f>
        <v>46169</v>
      </c>
      <c r="DF5" s="27">
        <f t="shared" ref="DF5" si="48">DE5+1</f>
        <v>46170</v>
      </c>
      <c r="DG5" s="27">
        <f t="shared" ref="DG5" si="49">DF5+1</f>
        <v>46171</v>
      </c>
      <c r="DH5" s="27">
        <f t="shared" ref="DH5" si="50">DG5+1</f>
        <v>46172</v>
      </c>
      <c r="DI5" s="27">
        <f t="shared" ref="DI5" si="51">DH5+1</f>
        <v>46173</v>
      </c>
    </row>
    <row r="6" spans="1:113" s="22" customFormat="1" ht="15" customHeight="1">
      <c r="A6" s="120"/>
      <c r="B6" s="122"/>
      <c r="C6" s="133"/>
      <c r="D6" s="133"/>
      <c r="E6" s="133"/>
      <c r="F6" s="133"/>
      <c r="I6" s="30" t="str">
        <f t="shared" ref="I6:AN6" si="52">LEFT(TEXT(I5,"ddd"),1)</f>
        <v>s</v>
      </c>
      <c r="J6" s="31" t="str">
        <f t="shared" si="52"/>
        <v>t</v>
      </c>
      <c r="K6" s="31" t="str">
        <f t="shared" si="52"/>
        <v>q</v>
      </c>
      <c r="L6" s="31" t="str">
        <f t="shared" si="52"/>
        <v>q</v>
      </c>
      <c r="M6" s="31" t="str">
        <f t="shared" si="52"/>
        <v>s</v>
      </c>
      <c r="N6" s="31" t="str">
        <f t="shared" si="52"/>
        <v>s</v>
      </c>
      <c r="O6" s="31" t="str">
        <f t="shared" si="52"/>
        <v>d</v>
      </c>
      <c r="P6" s="31" t="str">
        <f t="shared" si="52"/>
        <v>s</v>
      </c>
      <c r="Q6" s="31" t="str">
        <f t="shared" si="52"/>
        <v>t</v>
      </c>
      <c r="R6" s="31" t="str">
        <f t="shared" si="52"/>
        <v>q</v>
      </c>
      <c r="S6" s="31" t="str">
        <f t="shared" si="52"/>
        <v>q</v>
      </c>
      <c r="T6" s="31" t="str">
        <f t="shared" si="52"/>
        <v>s</v>
      </c>
      <c r="U6" s="31" t="str">
        <f t="shared" si="52"/>
        <v>s</v>
      </c>
      <c r="V6" s="31" t="str">
        <f t="shared" si="52"/>
        <v>d</v>
      </c>
      <c r="W6" s="31" t="str">
        <f t="shared" si="52"/>
        <v>s</v>
      </c>
      <c r="X6" s="31" t="str">
        <f t="shared" si="52"/>
        <v>t</v>
      </c>
      <c r="Y6" s="31" t="str">
        <f t="shared" si="52"/>
        <v>q</v>
      </c>
      <c r="Z6" s="31" t="str">
        <f t="shared" si="52"/>
        <v>q</v>
      </c>
      <c r="AA6" s="31" t="str">
        <f t="shared" si="52"/>
        <v>s</v>
      </c>
      <c r="AB6" s="31" t="str">
        <f t="shared" si="52"/>
        <v>s</v>
      </c>
      <c r="AC6" s="31" t="str">
        <f t="shared" si="52"/>
        <v>d</v>
      </c>
      <c r="AD6" s="31" t="str">
        <f t="shared" si="52"/>
        <v>s</v>
      </c>
      <c r="AE6" s="31" t="str">
        <f t="shared" si="52"/>
        <v>t</v>
      </c>
      <c r="AF6" s="31" t="str">
        <f t="shared" si="52"/>
        <v>q</v>
      </c>
      <c r="AG6" s="31" t="str">
        <f t="shared" si="52"/>
        <v>q</v>
      </c>
      <c r="AH6" s="31" t="str">
        <f t="shared" si="52"/>
        <v>s</v>
      </c>
      <c r="AI6" s="31" t="str">
        <f t="shared" si="52"/>
        <v>s</v>
      </c>
      <c r="AJ6" s="31" t="str">
        <f t="shared" si="52"/>
        <v>d</v>
      </c>
      <c r="AK6" s="31" t="str">
        <f t="shared" si="52"/>
        <v>s</v>
      </c>
      <c r="AL6" s="31" t="str">
        <f t="shared" si="52"/>
        <v>t</v>
      </c>
      <c r="AM6" s="31" t="str">
        <f t="shared" si="52"/>
        <v>q</v>
      </c>
      <c r="AN6" s="31" t="str">
        <f t="shared" si="52"/>
        <v>q</v>
      </c>
      <c r="AO6" s="31" t="str">
        <f t="shared" ref="AO6:BL6" si="53">LEFT(TEXT(AO5,"ddd"),1)</f>
        <v>s</v>
      </c>
      <c r="AP6" s="31" t="str">
        <f t="shared" si="53"/>
        <v>s</v>
      </c>
      <c r="AQ6" s="31" t="str">
        <f t="shared" si="53"/>
        <v>d</v>
      </c>
      <c r="AR6" s="31" t="str">
        <f t="shared" si="53"/>
        <v>s</v>
      </c>
      <c r="AS6" s="31" t="str">
        <f t="shared" si="53"/>
        <v>t</v>
      </c>
      <c r="AT6" s="31" t="str">
        <f t="shared" si="53"/>
        <v>q</v>
      </c>
      <c r="AU6" s="31" t="str">
        <f t="shared" si="53"/>
        <v>q</v>
      </c>
      <c r="AV6" s="31" t="str">
        <f t="shared" si="53"/>
        <v>s</v>
      </c>
      <c r="AW6" s="31" t="str">
        <f t="shared" si="53"/>
        <v>s</v>
      </c>
      <c r="AX6" s="31" t="str">
        <f t="shared" si="53"/>
        <v>d</v>
      </c>
      <c r="AY6" s="31" t="str">
        <f t="shared" si="53"/>
        <v>s</v>
      </c>
      <c r="AZ6" s="31" t="str">
        <f t="shared" si="53"/>
        <v>t</v>
      </c>
      <c r="BA6" s="31" t="str">
        <f t="shared" si="53"/>
        <v>q</v>
      </c>
      <c r="BB6" s="31" t="str">
        <f t="shared" si="53"/>
        <v>q</v>
      </c>
      <c r="BC6" s="31" t="str">
        <f t="shared" si="53"/>
        <v>s</v>
      </c>
      <c r="BD6" s="31" t="str">
        <f t="shared" si="53"/>
        <v>s</v>
      </c>
      <c r="BE6" s="31" t="str">
        <f t="shared" si="53"/>
        <v>d</v>
      </c>
      <c r="BF6" s="31" t="str">
        <f t="shared" si="53"/>
        <v>s</v>
      </c>
      <c r="BG6" s="31" t="str">
        <f t="shared" si="53"/>
        <v>t</v>
      </c>
      <c r="BH6" s="31" t="str">
        <f t="shared" si="53"/>
        <v>q</v>
      </c>
      <c r="BI6" s="31" t="str">
        <f t="shared" si="53"/>
        <v>q</v>
      </c>
      <c r="BJ6" s="31" t="str">
        <f t="shared" si="53"/>
        <v>s</v>
      </c>
      <c r="BK6" s="31" t="str">
        <f t="shared" si="53"/>
        <v>s</v>
      </c>
      <c r="BL6" s="32" t="str">
        <f t="shared" si="53"/>
        <v>d</v>
      </c>
      <c r="BM6" s="31" t="str">
        <f t="shared" ref="BM6:BS6" si="54">LEFT(TEXT(BM5,"ddd"),1)</f>
        <v>s</v>
      </c>
      <c r="BN6" s="31" t="str">
        <f t="shared" si="54"/>
        <v>t</v>
      </c>
      <c r="BO6" s="31" t="str">
        <f t="shared" si="54"/>
        <v>q</v>
      </c>
      <c r="BP6" s="31" t="str">
        <f t="shared" si="54"/>
        <v>q</v>
      </c>
      <c r="BQ6" s="31" t="str">
        <f t="shared" si="54"/>
        <v>s</v>
      </c>
      <c r="BR6" s="31" t="str">
        <f t="shared" si="54"/>
        <v>s</v>
      </c>
      <c r="BS6" s="32" t="str">
        <f t="shared" si="54"/>
        <v>d</v>
      </c>
      <c r="BT6" s="31" t="str">
        <f t="shared" ref="BT6:CG6" si="55">LEFT(TEXT(BT5,"ddd"),1)</f>
        <v>s</v>
      </c>
      <c r="BU6" s="31" t="str">
        <f t="shared" si="55"/>
        <v>t</v>
      </c>
      <c r="BV6" s="31" t="str">
        <f t="shared" si="55"/>
        <v>q</v>
      </c>
      <c r="BW6" s="31" t="str">
        <f t="shared" si="55"/>
        <v>q</v>
      </c>
      <c r="BX6" s="31" t="str">
        <f t="shared" si="55"/>
        <v>s</v>
      </c>
      <c r="BY6" s="31" t="str">
        <f t="shared" si="55"/>
        <v>s</v>
      </c>
      <c r="BZ6" s="32" t="str">
        <f t="shared" si="55"/>
        <v>d</v>
      </c>
      <c r="CA6" s="31" t="str">
        <f t="shared" si="55"/>
        <v>s</v>
      </c>
      <c r="CB6" s="31" t="str">
        <f t="shared" si="55"/>
        <v>t</v>
      </c>
      <c r="CC6" s="31" t="str">
        <f t="shared" si="55"/>
        <v>q</v>
      </c>
      <c r="CD6" s="31" t="str">
        <f t="shared" si="55"/>
        <v>q</v>
      </c>
      <c r="CE6" s="31" t="str">
        <f t="shared" si="55"/>
        <v>s</v>
      </c>
      <c r="CF6" s="31" t="str">
        <f t="shared" si="55"/>
        <v>s</v>
      </c>
      <c r="CG6" s="32" t="str">
        <f t="shared" si="55"/>
        <v>d</v>
      </c>
      <c r="CH6" s="31" t="str">
        <f t="shared" ref="CH6:DB6" si="56">LEFT(TEXT(CH5,"ddd"),1)</f>
        <v>s</v>
      </c>
      <c r="CI6" s="31" t="str">
        <f t="shared" si="56"/>
        <v>t</v>
      </c>
      <c r="CJ6" s="31" t="str">
        <f t="shared" si="56"/>
        <v>q</v>
      </c>
      <c r="CK6" s="31" t="str">
        <f t="shared" si="56"/>
        <v>q</v>
      </c>
      <c r="CL6" s="31" t="str">
        <f t="shared" si="56"/>
        <v>s</v>
      </c>
      <c r="CM6" s="31" t="str">
        <f t="shared" si="56"/>
        <v>s</v>
      </c>
      <c r="CN6" s="32" t="str">
        <f t="shared" si="56"/>
        <v>d</v>
      </c>
      <c r="CO6" s="31" t="str">
        <f t="shared" si="56"/>
        <v>s</v>
      </c>
      <c r="CP6" s="31" t="str">
        <f t="shared" si="56"/>
        <v>t</v>
      </c>
      <c r="CQ6" s="31" t="str">
        <f t="shared" si="56"/>
        <v>q</v>
      </c>
      <c r="CR6" s="31" t="str">
        <f t="shared" si="56"/>
        <v>q</v>
      </c>
      <c r="CS6" s="31" t="str">
        <f t="shared" si="56"/>
        <v>s</v>
      </c>
      <c r="CT6" s="31" t="str">
        <f t="shared" si="56"/>
        <v>s</v>
      </c>
      <c r="CU6" s="32" t="str">
        <f t="shared" si="56"/>
        <v>d</v>
      </c>
      <c r="CV6" s="31" t="str">
        <f t="shared" ref="CV6:DB6" si="57">LEFT(TEXT(CV5,"ddd"),1)</f>
        <v>s</v>
      </c>
      <c r="CW6" s="31" t="str">
        <f t="shared" si="57"/>
        <v>t</v>
      </c>
      <c r="CX6" s="31" t="str">
        <f t="shared" si="57"/>
        <v>q</v>
      </c>
      <c r="CY6" s="31" t="str">
        <f t="shared" si="57"/>
        <v>q</v>
      </c>
      <c r="CZ6" s="31" t="str">
        <f t="shared" si="57"/>
        <v>s</v>
      </c>
      <c r="DA6" s="31" t="str">
        <f t="shared" si="57"/>
        <v>s</v>
      </c>
      <c r="DB6" s="32" t="str">
        <f t="shared" si="57"/>
        <v>d</v>
      </c>
      <c r="DC6" s="31" t="str">
        <f t="shared" ref="DC6:DI6" si="58">LEFT(TEXT(DC5,"ddd"),1)</f>
        <v>s</v>
      </c>
      <c r="DD6" s="31" t="str">
        <f t="shared" si="58"/>
        <v>t</v>
      </c>
      <c r="DE6" s="31" t="str">
        <f t="shared" si="58"/>
        <v>q</v>
      </c>
      <c r="DF6" s="31" t="str">
        <f t="shared" si="58"/>
        <v>q</v>
      </c>
      <c r="DG6" s="31" t="str">
        <f t="shared" si="58"/>
        <v>s</v>
      </c>
      <c r="DH6" s="31" t="str">
        <f t="shared" si="58"/>
        <v>s</v>
      </c>
      <c r="DI6" s="32" t="str">
        <f t="shared" si="58"/>
        <v>d</v>
      </c>
    </row>
    <row r="7" spans="1:113" s="22" customFormat="1" ht="30" hidden="1" customHeight="1">
      <c r="A7" s="13" t="s">
        <v>9</v>
      </c>
      <c r="B7" s="33"/>
      <c r="C7" s="34"/>
      <c r="D7" s="33"/>
      <c r="E7" s="33"/>
      <c r="F7" s="33"/>
      <c r="H7" s="22" t="str">
        <f ca="1">IF(OR(ISBLANK(task_start),ISBLANK(task_end)),"",task_end-task_start+1)</f>
        <v/>
      </c>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row>
    <row r="8" spans="1:113" s="42" customFormat="1" ht="30" customHeight="1">
      <c r="A8" s="14"/>
      <c r="B8" s="36" t="s">
        <v>10</v>
      </c>
      <c r="C8" s="37"/>
      <c r="D8" s="38"/>
      <c r="E8" s="39"/>
      <c r="F8" s="40"/>
      <c r="G8" s="17"/>
      <c r="H8" s="5" t="str">
        <f t="shared" ref="H8:H36" ca="1" si="59">IF(OR(ISBLANK(task_start),ISBLANK(task_end)),"",task_end-task_start+1)</f>
        <v/>
      </c>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row>
    <row r="9" spans="1:113" s="42" customFormat="1" ht="30" customHeight="1">
      <c r="A9" s="14"/>
      <c r="B9" s="43" t="s">
        <v>11</v>
      </c>
      <c r="C9" s="44" t="s">
        <v>12</v>
      </c>
      <c r="D9" s="45">
        <v>0.8</v>
      </c>
      <c r="E9" s="91">
        <f>Project_Start</f>
        <v>46073</v>
      </c>
      <c r="F9" s="91">
        <f>E9+2</f>
        <v>46075</v>
      </c>
      <c r="G9" s="17"/>
      <c r="H9" s="5">
        <f t="shared" ca="1" si="59"/>
        <v>3</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row>
    <row r="10" spans="1:113" s="42" customFormat="1" ht="30" customHeight="1">
      <c r="A10" s="14"/>
      <c r="B10" s="90" t="s">
        <v>13</v>
      </c>
      <c r="C10" s="48" t="s">
        <v>14</v>
      </c>
      <c r="D10" s="49">
        <v>0.6</v>
      </c>
      <c r="E10" s="92">
        <f>F9+1</f>
        <v>46076</v>
      </c>
      <c r="F10" s="92">
        <f>E10+2</f>
        <v>46078</v>
      </c>
      <c r="G10" s="17"/>
      <c r="H10" s="5">
        <f t="shared" ca="1" si="59"/>
        <v>3</v>
      </c>
      <c r="I10" s="46"/>
      <c r="J10" s="46"/>
      <c r="K10" s="46"/>
      <c r="L10" s="46"/>
      <c r="M10" s="46"/>
      <c r="N10" s="46"/>
      <c r="O10" s="46"/>
      <c r="P10" s="46"/>
      <c r="Q10" s="46"/>
      <c r="R10" s="46"/>
      <c r="S10" s="46"/>
      <c r="T10" s="46"/>
      <c r="U10" s="50"/>
      <c r="V10" s="50"/>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row>
    <row r="11" spans="1:113" s="42" customFormat="1" ht="30" customHeight="1">
      <c r="A11" s="13"/>
      <c r="B11" s="90" t="s">
        <v>15</v>
      </c>
      <c r="C11" s="48" t="s">
        <v>16</v>
      </c>
      <c r="D11" s="49">
        <v>0.3</v>
      </c>
      <c r="E11" s="92">
        <f>F10+1</f>
        <v>46079</v>
      </c>
      <c r="F11" s="92">
        <f>E11+3</f>
        <v>46082</v>
      </c>
      <c r="G11" s="17"/>
      <c r="H11" s="5">
        <f t="shared" ca="1" si="59"/>
        <v>4</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row>
    <row r="12" spans="1:113" s="42" customFormat="1" ht="30" customHeight="1">
      <c r="A12" s="13"/>
      <c r="B12" s="47" t="s">
        <v>17</v>
      </c>
      <c r="C12" s="48" t="s">
        <v>18</v>
      </c>
      <c r="D12" s="49">
        <v>0</v>
      </c>
      <c r="E12" s="92">
        <f>F11+1</f>
        <v>46083</v>
      </c>
      <c r="F12" s="92">
        <f>E12+3</f>
        <v>46086</v>
      </c>
      <c r="G12" s="17"/>
      <c r="H12" s="5">
        <f t="shared" ca="1" si="59"/>
        <v>4</v>
      </c>
      <c r="I12" s="46"/>
      <c r="J12" s="46"/>
      <c r="K12" s="46"/>
      <c r="L12" s="46"/>
      <c r="M12" s="46"/>
      <c r="N12" s="46"/>
      <c r="O12" s="46"/>
      <c r="P12" s="46"/>
      <c r="Q12" s="46"/>
      <c r="R12" s="46"/>
      <c r="S12" s="46"/>
      <c r="T12" s="46"/>
      <c r="U12" s="46"/>
      <c r="V12" s="46"/>
      <c r="W12" s="46"/>
      <c r="X12" s="46"/>
      <c r="Y12" s="50"/>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row>
    <row r="13" spans="1:113" s="42" customFormat="1" ht="30" customHeight="1">
      <c r="A13" s="13"/>
      <c r="B13" s="90" t="s">
        <v>19</v>
      </c>
      <c r="C13" s="48" t="s">
        <v>20</v>
      </c>
      <c r="D13" s="49">
        <v>0</v>
      </c>
      <c r="E13" s="92">
        <f>F12+1</f>
        <v>46087</v>
      </c>
      <c r="F13" s="92">
        <f>E13+3</f>
        <v>46090</v>
      </c>
      <c r="G13" s="17"/>
      <c r="H13" s="5">
        <f t="shared" ca="1" si="59"/>
        <v>4</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row>
    <row r="14" spans="1:113" s="42" customFormat="1" ht="30" customHeight="1">
      <c r="A14" s="14"/>
      <c r="B14" s="51" t="s">
        <v>21</v>
      </c>
      <c r="C14" s="52"/>
      <c r="D14" s="53"/>
      <c r="E14" s="93"/>
      <c r="F14" s="94"/>
      <c r="G14" s="17"/>
      <c r="H14" s="5" t="str">
        <f t="shared" ca="1" si="59"/>
        <v/>
      </c>
    </row>
    <row r="15" spans="1:113" s="42" customFormat="1" ht="30" customHeight="1">
      <c r="A15" s="14"/>
      <c r="B15" s="54" t="s">
        <v>22</v>
      </c>
      <c r="C15" s="55" t="s">
        <v>12</v>
      </c>
      <c r="D15" s="56">
        <v>0</v>
      </c>
      <c r="E15" s="95">
        <f>F13+1</f>
        <v>46091</v>
      </c>
      <c r="F15" s="95">
        <f>E15+2</f>
        <v>46093</v>
      </c>
      <c r="G15" s="17"/>
      <c r="H15" s="5">
        <f t="shared" ca="1" si="59"/>
        <v>3</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row>
    <row r="16" spans="1:113" s="42" customFormat="1" ht="30" customHeight="1">
      <c r="A16" s="13"/>
      <c r="B16" s="54" t="s">
        <v>23</v>
      </c>
      <c r="C16" s="55" t="s">
        <v>14</v>
      </c>
      <c r="D16" s="56">
        <v>0</v>
      </c>
      <c r="E16" s="95">
        <f>F15+1</f>
        <v>46094</v>
      </c>
      <c r="F16" s="95">
        <f>E16+3</f>
        <v>46097</v>
      </c>
      <c r="G16" s="17"/>
      <c r="H16" s="5">
        <f t="shared" ca="1" si="59"/>
        <v>4</v>
      </c>
      <c r="I16" s="46"/>
      <c r="J16" s="46"/>
      <c r="K16" s="46"/>
      <c r="L16" s="46"/>
      <c r="M16" s="46"/>
      <c r="N16" s="46"/>
      <c r="O16" s="46"/>
      <c r="P16" s="46"/>
      <c r="Q16" s="46"/>
      <c r="R16" s="46"/>
      <c r="S16" s="46"/>
      <c r="T16" s="46"/>
      <c r="U16" s="50"/>
      <c r="V16" s="50"/>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row>
    <row r="17" spans="1:113" s="42" customFormat="1" ht="30" customHeight="1">
      <c r="A17" s="13"/>
      <c r="B17" s="54" t="s">
        <v>24</v>
      </c>
      <c r="C17" s="55" t="s">
        <v>16</v>
      </c>
      <c r="D17" s="56">
        <v>0</v>
      </c>
      <c r="E17" s="95">
        <f>F16+1</f>
        <v>46098</v>
      </c>
      <c r="F17" s="95">
        <f>E17+2</f>
        <v>46100</v>
      </c>
      <c r="G17" s="17"/>
      <c r="H17" s="5">
        <f t="shared" ca="1" si="59"/>
        <v>3</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row>
    <row r="18" spans="1:113" s="42" customFormat="1" ht="30" customHeight="1">
      <c r="A18" s="13"/>
      <c r="B18" s="54" t="s">
        <v>25</v>
      </c>
      <c r="C18" s="55" t="s">
        <v>18</v>
      </c>
      <c r="D18" s="56">
        <v>0</v>
      </c>
      <c r="E18" s="95">
        <f>F17+1</f>
        <v>46101</v>
      </c>
      <c r="F18" s="95">
        <f>E18+2</f>
        <v>46103</v>
      </c>
      <c r="G18" s="17"/>
      <c r="H18" s="5">
        <f t="shared" ca="1" si="59"/>
        <v>3</v>
      </c>
      <c r="I18" s="46"/>
      <c r="J18" s="46"/>
      <c r="K18" s="46"/>
      <c r="L18" s="46"/>
      <c r="M18" s="46"/>
      <c r="N18" s="46"/>
      <c r="O18" s="46"/>
      <c r="P18" s="46"/>
      <c r="Q18" s="46"/>
      <c r="R18" s="46"/>
      <c r="S18" s="46"/>
      <c r="T18" s="46"/>
      <c r="U18" s="46"/>
      <c r="V18" s="46"/>
      <c r="W18" s="46"/>
      <c r="X18" s="46"/>
      <c r="Y18" s="50"/>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row>
    <row r="19" spans="1:113" s="42" customFormat="1" ht="30" customHeight="1">
      <c r="A19" s="13"/>
      <c r="B19" s="54" t="s">
        <v>26</v>
      </c>
      <c r="C19" s="55" t="s">
        <v>20</v>
      </c>
      <c r="D19" s="56">
        <v>0</v>
      </c>
      <c r="E19" s="95">
        <f>F18+1</f>
        <v>46104</v>
      </c>
      <c r="F19" s="95">
        <f>E19+1</f>
        <v>46105</v>
      </c>
      <c r="G19" s="17"/>
      <c r="H19" s="5">
        <f t="shared" ca="1" si="59"/>
        <v>2</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c r="BU19" s="46"/>
      <c r="BV19" s="46"/>
      <c r="BW19" s="46"/>
      <c r="BX19" s="46"/>
      <c r="BY19" s="46"/>
      <c r="BZ19" s="46"/>
      <c r="CA19" s="46"/>
      <c r="CB19" s="46"/>
      <c r="CC19" s="46"/>
      <c r="CD19" s="46"/>
      <c r="CE19" s="46"/>
      <c r="CF19" s="46"/>
      <c r="CG19" s="46"/>
      <c r="CH19" s="46"/>
      <c r="CI19" s="46"/>
      <c r="CJ19" s="46"/>
      <c r="CK19" s="46"/>
      <c r="CL19" s="46"/>
      <c r="CM19" s="46"/>
      <c r="CN19" s="46"/>
      <c r="CO19" s="46"/>
      <c r="CP19" s="46"/>
      <c r="CQ19" s="46"/>
      <c r="CR19" s="46"/>
      <c r="CS19" s="46"/>
      <c r="CT19" s="46"/>
      <c r="CU19" s="46"/>
      <c r="CV19" s="46"/>
      <c r="CW19" s="46"/>
      <c r="CX19" s="46"/>
      <c r="CY19" s="46"/>
      <c r="CZ19" s="46"/>
      <c r="DA19" s="46"/>
      <c r="DB19" s="46"/>
      <c r="DC19" s="46"/>
      <c r="DD19" s="46"/>
      <c r="DE19" s="46"/>
      <c r="DF19" s="46"/>
      <c r="DG19" s="46"/>
      <c r="DH19" s="46"/>
      <c r="DI19" s="46"/>
    </row>
    <row r="20" spans="1:113" s="42" customFormat="1" ht="30" customHeight="1">
      <c r="A20" s="13"/>
      <c r="B20" s="57" t="s">
        <v>27</v>
      </c>
      <c r="C20" s="58"/>
      <c r="D20" s="59"/>
      <c r="E20" s="96"/>
      <c r="F20" s="97"/>
      <c r="G20" s="17"/>
      <c r="H20" s="5" t="str">
        <f t="shared" ca="1" si="59"/>
        <v/>
      </c>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c r="DC20" s="60"/>
      <c r="DD20" s="60"/>
      <c r="DE20" s="60"/>
      <c r="DF20" s="60"/>
      <c r="DG20" s="60"/>
      <c r="DH20" s="60"/>
      <c r="DI20" s="60"/>
    </row>
    <row r="21" spans="1:113" s="42" customFormat="1" ht="30" customHeight="1">
      <c r="A21" s="13"/>
      <c r="B21" s="61" t="s">
        <v>28</v>
      </c>
      <c r="C21" s="62" t="s">
        <v>12</v>
      </c>
      <c r="D21" s="63">
        <v>0</v>
      </c>
      <c r="E21" s="98">
        <f>F19+1</f>
        <v>46106</v>
      </c>
      <c r="F21" s="98">
        <f>E21+1</f>
        <v>46107</v>
      </c>
      <c r="G21" s="17"/>
      <c r="H21" s="5">
        <f t="shared" ca="1" si="59"/>
        <v>2</v>
      </c>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c r="BU21" s="46"/>
      <c r="BV21" s="46"/>
      <c r="BW21" s="46"/>
      <c r="BX21" s="46"/>
      <c r="BY21" s="46"/>
      <c r="BZ21" s="46"/>
      <c r="CA21" s="46"/>
      <c r="CB21" s="46"/>
      <c r="CC21" s="46"/>
      <c r="CD21" s="46"/>
      <c r="CE21" s="46"/>
      <c r="CF21" s="46"/>
      <c r="CG21" s="46"/>
      <c r="CH21" s="46"/>
      <c r="CI21" s="46"/>
      <c r="CJ21" s="46"/>
      <c r="CK21" s="46"/>
      <c r="CL21" s="46"/>
      <c r="CM21" s="46"/>
      <c r="CN21" s="46"/>
      <c r="CO21" s="46"/>
      <c r="CP21" s="46"/>
      <c r="CQ21" s="46"/>
      <c r="CR21" s="46"/>
      <c r="CS21" s="46"/>
      <c r="CT21" s="46"/>
      <c r="CU21" s="46"/>
      <c r="CV21" s="46"/>
      <c r="CW21" s="46"/>
      <c r="CX21" s="46"/>
      <c r="CY21" s="46"/>
      <c r="CZ21" s="46"/>
      <c r="DA21" s="46"/>
      <c r="DB21" s="46"/>
      <c r="DC21" s="46"/>
      <c r="DD21" s="46"/>
      <c r="DE21" s="46"/>
      <c r="DF21" s="46"/>
      <c r="DG21" s="46"/>
      <c r="DH21" s="46"/>
      <c r="DI21" s="46"/>
    </row>
    <row r="22" spans="1:113" s="42" customFormat="1" ht="30" customHeight="1">
      <c r="A22" s="13"/>
      <c r="B22" s="61" t="s">
        <v>29</v>
      </c>
      <c r="C22" s="62" t="s">
        <v>14</v>
      </c>
      <c r="D22" s="63">
        <v>0</v>
      </c>
      <c r="E22" s="98">
        <f>F21+1</f>
        <v>46108</v>
      </c>
      <c r="F22" s="98">
        <f>E22+4</f>
        <v>46112</v>
      </c>
      <c r="G22" s="17"/>
      <c r="H22" s="5">
        <f t="shared" ca="1" si="59"/>
        <v>5</v>
      </c>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c r="BU22" s="46"/>
      <c r="BV22" s="46"/>
      <c r="BW22" s="46"/>
      <c r="BX22" s="46"/>
      <c r="BY22" s="46"/>
      <c r="BZ22" s="46"/>
      <c r="CA22" s="46"/>
      <c r="CB22" s="46"/>
      <c r="CC22" s="46"/>
      <c r="CD22" s="46"/>
      <c r="CE22" s="46"/>
      <c r="CF22" s="46"/>
      <c r="CG22" s="46"/>
      <c r="CH22" s="46"/>
      <c r="CI22" s="46"/>
      <c r="CJ22" s="46"/>
      <c r="CK22" s="46"/>
      <c r="CL22" s="46"/>
      <c r="CM22" s="46"/>
      <c r="CN22" s="46"/>
      <c r="CO22" s="46"/>
      <c r="CP22" s="46"/>
      <c r="CQ22" s="46"/>
      <c r="CR22" s="46"/>
      <c r="CS22" s="46"/>
      <c r="CT22" s="46"/>
      <c r="CU22" s="46"/>
      <c r="CV22" s="46"/>
      <c r="CW22" s="46"/>
      <c r="CX22" s="46"/>
      <c r="CY22" s="46"/>
      <c r="CZ22" s="46"/>
      <c r="DA22" s="46"/>
      <c r="DB22" s="46"/>
      <c r="DC22" s="46"/>
      <c r="DD22" s="46"/>
      <c r="DE22" s="46"/>
      <c r="DF22" s="46"/>
      <c r="DG22" s="46"/>
      <c r="DH22" s="46"/>
      <c r="DI22" s="46"/>
    </row>
    <row r="23" spans="1:113" s="42" customFormat="1" ht="30" customHeight="1">
      <c r="A23" s="13"/>
      <c r="B23" s="61" t="s">
        <v>30</v>
      </c>
      <c r="C23" s="62" t="s">
        <v>16</v>
      </c>
      <c r="D23" s="63">
        <v>0</v>
      </c>
      <c r="E23" s="98">
        <f>E22+5</f>
        <v>46113</v>
      </c>
      <c r="F23" s="98">
        <f>E23+3</f>
        <v>46116</v>
      </c>
      <c r="G23" s="17"/>
      <c r="H23" s="5">
        <f t="shared" ca="1" si="59"/>
        <v>4</v>
      </c>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c r="CA23" s="46"/>
      <c r="CB23" s="46"/>
      <c r="CC23" s="46"/>
      <c r="CD23" s="46"/>
      <c r="CE23" s="46"/>
      <c r="CF23" s="46"/>
      <c r="CG23" s="46"/>
      <c r="CH23" s="46"/>
      <c r="CI23" s="46"/>
      <c r="CJ23" s="46"/>
      <c r="CK23" s="46"/>
      <c r="CL23" s="46"/>
      <c r="CM23" s="46"/>
      <c r="CN23" s="46"/>
      <c r="CO23" s="46"/>
      <c r="CP23" s="46"/>
      <c r="CQ23" s="46"/>
      <c r="CR23" s="46"/>
      <c r="CS23" s="46"/>
      <c r="CT23" s="46"/>
      <c r="CU23" s="46"/>
      <c r="CV23" s="46"/>
      <c r="CW23" s="46"/>
      <c r="CX23" s="46"/>
      <c r="CY23" s="46"/>
      <c r="CZ23" s="46"/>
      <c r="DA23" s="46"/>
      <c r="DB23" s="46"/>
      <c r="DC23" s="46"/>
      <c r="DD23" s="46"/>
      <c r="DE23" s="46"/>
      <c r="DF23" s="46"/>
      <c r="DG23" s="46"/>
      <c r="DH23" s="46"/>
      <c r="DI23" s="46"/>
    </row>
    <row r="24" spans="1:113" s="42" customFormat="1" ht="30" customHeight="1">
      <c r="A24" s="13"/>
      <c r="B24" s="61" t="s">
        <v>31</v>
      </c>
      <c r="C24" s="62" t="s">
        <v>18</v>
      </c>
      <c r="D24" s="63">
        <v>0</v>
      </c>
      <c r="E24" s="98">
        <f>F23+1</f>
        <v>46117</v>
      </c>
      <c r="F24" s="98">
        <f>E24+3</f>
        <v>46120</v>
      </c>
      <c r="G24" s="17"/>
      <c r="H24" s="5">
        <f t="shared" ca="1" si="59"/>
        <v>4</v>
      </c>
      <c r="I24" s="46"/>
      <c r="J24" s="46"/>
      <c r="K24" s="46"/>
      <c r="L24" s="46"/>
      <c r="M24" s="46"/>
      <c r="N24" s="46"/>
      <c r="O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46"/>
      <c r="DG24" s="46"/>
      <c r="DH24" s="46"/>
      <c r="DI24" s="46"/>
    </row>
    <row r="25" spans="1:113" s="42" customFormat="1" ht="30" customHeight="1">
      <c r="A25" s="13"/>
      <c r="B25" s="61" t="s">
        <v>32</v>
      </c>
      <c r="C25" s="62" t="s">
        <v>20</v>
      </c>
      <c r="D25" s="63">
        <v>0</v>
      </c>
      <c r="E25" s="98">
        <f>F24+1</f>
        <v>46121</v>
      </c>
      <c r="F25" s="98">
        <f>E25+1</f>
        <v>46122</v>
      </c>
      <c r="G25" s="17"/>
      <c r="H25" s="5">
        <f t="shared" ca="1" si="59"/>
        <v>2</v>
      </c>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c r="BU25" s="46"/>
      <c r="BV25" s="46"/>
      <c r="BW25" s="46"/>
      <c r="BX25" s="46"/>
      <c r="BY25" s="46"/>
      <c r="BZ25" s="46"/>
      <c r="CA25" s="46"/>
      <c r="CB25" s="46"/>
      <c r="CC25" s="46"/>
      <c r="CD25" s="46"/>
      <c r="CE25" s="46"/>
      <c r="CF25" s="46"/>
      <c r="CG25" s="46"/>
      <c r="CH25" s="46"/>
      <c r="CI25" s="46"/>
      <c r="CJ25" s="46"/>
      <c r="CK25" s="46"/>
      <c r="CL25" s="46"/>
      <c r="CM25" s="46"/>
      <c r="CN25" s="46"/>
      <c r="CO25" s="46"/>
      <c r="CP25" s="46"/>
      <c r="CQ25" s="46"/>
      <c r="CR25" s="46"/>
      <c r="CS25" s="46"/>
      <c r="CT25" s="46"/>
      <c r="CU25" s="46"/>
      <c r="CV25" s="46"/>
      <c r="CW25" s="46"/>
      <c r="CX25" s="46"/>
      <c r="CY25" s="46"/>
      <c r="CZ25" s="46"/>
      <c r="DA25" s="46"/>
      <c r="DB25" s="46"/>
      <c r="DC25" s="46"/>
      <c r="DD25" s="46"/>
      <c r="DE25" s="46"/>
      <c r="DF25" s="46"/>
      <c r="DG25" s="46"/>
      <c r="DH25" s="46"/>
      <c r="DI25" s="46"/>
    </row>
    <row r="26" spans="1:113" s="42" customFormat="1" ht="30" customHeight="1">
      <c r="A26" s="13"/>
      <c r="B26" s="64" t="s">
        <v>33</v>
      </c>
      <c r="C26" s="65"/>
      <c r="D26" s="66"/>
      <c r="E26" s="99"/>
      <c r="F26" s="100"/>
      <c r="G26" s="17"/>
      <c r="H26" s="5" t="str">
        <f t="shared" ca="1" si="59"/>
        <v/>
      </c>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row>
    <row r="27" spans="1:113" s="42" customFormat="1" ht="30" customHeight="1">
      <c r="A27" s="13"/>
      <c r="B27" s="68" t="s">
        <v>34</v>
      </c>
      <c r="C27" s="69" t="s">
        <v>12</v>
      </c>
      <c r="D27" s="70">
        <v>0</v>
      </c>
      <c r="E27" s="101">
        <f>F25+1</f>
        <v>46123</v>
      </c>
      <c r="F27" s="101">
        <f>E27+2</f>
        <v>46125</v>
      </c>
      <c r="G27" s="17"/>
      <c r="H27" s="5">
        <f t="shared" ca="1" si="59"/>
        <v>3</v>
      </c>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row>
    <row r="28" spans="1:113" s="42" customFormat="1" ht="30" customHeight="1">
      <c r="A28" s="13"/>
      <c r="B28" s="68" t="s">
        <v>35</v>
      </c>
      <c r="C28" s="69" t="s">
        <v>14</v>
      </c>
      <c r="D28" s="70">
        <v>0</v>
      </c>
      <c r="E28" s="101">
        <f>F27+1</f>
        <v>46126</v>
      </c>
      <c r="F28" s="101">
        <f>E28+6</f>
        <v>46132</v>
      </c>
      <c r="G28" s="17"/>
      <c r="H28" s="5">
        <f t="shared" ca="1" si="59"/>
        <v>7</v>
      </c>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row>
    <row r="29" spans="1:113" s="42" customFormat="1" ht="30" customHeight="1">
      <c r="A29" s="13"/>
      <c r="B29" s="68" t="s">
        <v>36</v>
      </c>
      <c r="C29" s="69" t="s">
        <v>16</v>
      </c>
      <c r="D29" s="70">
        <v>0</v>
      </c>
      <c r="E29" s="101">
        <f>F28+1</f>
        <v>46133</v>
      </c>
      <c r="F29" s="101">
        <f>E29+5</f>
        <v>46138</v>
      </c>
      <c r="G29" s="17"/>
      <c r="H29" s="5">
        <f t="shared" ca="1" si="59"/>
        <v>6</v>
      </c>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row>
    <row r="30" spans="1:113" s="42" customFormat="1" ht="30" customHeight="1">
      <c r="A30" s="13"/>
      <c r="B30" s="68" t="s">
        <v>37</v>
      </c>
      <c r="C30" s="69" t="s">
        <v>18</v>
      </c>
      <c r="D30" s="70">
        <v>0</v>
      </c>
      <c r="E30" s="101">
        <f>F29+1</f>
        <v>46139</v>
      </c>
      <c r="F30" s="101">
        <f>E30+7</f>
        <v>46146</v>
      </c>
      <c r="G30" s="17"/>
      <c r="H30" s="5">
        <f t="shared" ca="1" si="59"/>
        <v>8</v>
      </c>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row>
    <row r="31" spans="1:113" s="42" customFormat="1" ht="30" customHeight="1">
      <c r="A31" s="13"/>
      <c r="B31" s="68" t="s">
        <v>38</v>
      </c>
      <c r="C31" s="69" t="s">
        <v>20</v>
      </c>
      <c r="D31" s="70">
        <v>0</v>
      </c>
      <c r="E31" s="101">
        <f>F30+1</f>
        <v>46147</v>
      </c>
      <c r="F31" s="101">
        <f>E31+5</f>
        <v>46152</v>
      </c>
      <c r="G31" s="17"/>
      <c r="H31" s="5">
        <f t="shared" ca="1" si="59"/>
        <v>6</v>
      </c>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row>
    <row r="32" spans="1:113" s="42" customFormat="1" ht="30" customHeight="1">
      <c r="A32" s="13"/>
      <c r="B32" s="102" t="s">
        <v>39</v>
      </c>
      <c r="C32" s="103"/>
      <c r="D32" s="104"/>
      <c r="E32" s="105"/>
      <c r="F32" s="106"/>
      <c r="G32" s="17"/>
      <c r="H32" s="5" t="str">
        <f t="shared" ca="1" si="59"/>
        <v/>
      </c>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c r="CR32" s="67"/>
      <c r="CS32" s="67"/>
      <c r="CT32" s="67"/>
      <c r="CU32" s="67"/>
      <c r="CV32" s="67"/>
      <c r="CW32" s="67"/>
      <c r="CX32" s="67"/>
      <c r="CY32" s="67"/>
      <c r="CZ32" s="67"/>
      <c r="DA32" s="67"/>
      <c r="DB32" s="67"/>
      <c r="DC32" s="67"/>
      <c r="DD32" s="67"/>
      <c r="DE32" s="67"/>
      <c r="DF32" s="67"/>
      <c r="DG32" s="67"/>
      <c r="DH32" s="67"/>
      <c r="DI32" s="67"/>
    </row>
    <row r="33" spans="1:113" s="42" customFormat="1" ht="30" customHeight="1">
      <c r="A33" s="13"/>
      <c r="B33" s="107" t="s">
        <v>40</v>
      </c>
      <c r="C33" s="108" t="s">
        <v>41</v>
      </c>
      <c r="D33" s="109">
        <v>0</v>
      </c>
      <c r="E33" s="110">
        <f>F31+14</f>
        <v>46166</v>
      </c>
      <c r="F33" s="110">
        <f>E33+1</f>
        <v>46167</v>
      </c>
      <c r="G33" s="17"/>
      <c r="H33" s="5">
        <f t="shared" ca="1" si="59"/>
        <v>2</v>
      </c>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111"/>
      <c r="DB33" s="115"/>
      <c r="DC33" s="115"/>
      <c r="DD33" s="117"/>
      <c r="DE33" s="113"/>
      <c r="DF33" s="46"/>
      <c r="DG33" s="46"/>
      <c r="DH33" s="46"/>
      <c r="DI33" s="46"/>
    </row>
    <row r="34" spans="1:113" s="42" customFormat="1" ht="30" customHeight="1">
      <c r="A34" s="13"/>
      <c r="B34" s="107" t="s">
        <v>42</v>
      </c>
      <c r="C34" s="108" t="s">
        <v>41</v>
      </c>
      <c r="D34" s="109">
        <v>0</v>
      </c>
      <c r="E34" s="110">
        <f>F33+1</f>
        <v>46168</v>
      </c>
      <c r="F34" s="110">
        <f>E34+1</f>
        <v>46169</v>
      </c>
      <c r="G34" s="17"/>
      <c r="H34" s="5">
        <f t="shared" ca="1" si="59"/>
        <v>2</v>
      </c>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114"/>
      <c r="DC34" s="116"/>
      <c r="DD34" s="115"/>
      <c r="DE34" s="115"/>
      <c r="DF34" s="112"/>
      <c r="DG34" s="46"/>
      <c r="DH34" s="46"/>
      <c r="DI34" s="46"/>
    </row>
    <row r="35" spans="1:113" s="42" customFormat="1" ht="30" customHeight="1">
      <c r="A35" s="13"/>
      <c r="B35" s="71"/>
      <c r="C35" s="72"/>
      <c r="D35" s="73"/>
      <c r="E35" s="74"/>
      <c r="F35" s="74"/>
      <c r="G35" s="17"/>
      <c r="H35" s="5"/>
    </row>
    <row r="36" spans="1:113" s="42" customFormat="1" ht="30" customHeight="1">
      <c r="A36" s="14"/>
      <c r="B36" s="75" t="s">
        <v>43</v>
      </c>
      <c r="C36" s="76"/>
      <c r="D36" s="77"/>
      <c r="E36" s="78"/>
      <c r="F36" s="79"/>
      <c r="G36" s="17"/>
      <c r="H36" s="6" t="str">
        <f t="shared" ca="1" si="59"/>
        <v/>
      </c>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80"/>
      <c r="BK36" s="80"/>
      <c r="BL36" s="80"/>
    </row>
    <row r="37" spans="1:113" ht="30" customHeight="1">
      <c r="G37" s="3"/>
    </row>
    <row r="38" spans="1:113" ht="30" customHeight="1">
      <c r="C38" s="16"/>
      <c r="F38" s="15"/>
    </row>
    <row r="39" spans="1:113" ht="30" customHeight="1">
      <c r="C39" s="4"/>
    </row>
  </sheetData>
  <mergeCells count="26">
    <mergeCell ref="BF4:BL4"/>
    <mergeCell ref="I4:O4"/>
    <mergeCell ref="P4:V4"/>
    <mergeCell ref="W4:AC4"/>
    <mergeCell ref="AD4:AJ4"/>
    <mergeCell ref="AK4:AQ4"/>
    <mergeCell ref="AR4:AX4"/>
    <mergeCell ref="AY4:BE4"/>
    <mergeCell ref="F5:F6"/>
    <mergeCell ref="Q2:Z2"/>
    <mergeCell ref="Q1:Z1"/>
    <mergeCell ref="I1:O1"/>
    <mergeCell ref="I2:O2"/>
    <mergeCell ref="B1:G1"/>
    <mergeCell ref="A5:A6"/>
    <mergeCell ref="B5:B6"/>
    <mergeCell ref="C5:C6"/>
    <mergeCell ref="D5:D6"/>
    <mergeCell ref="E5:E6"/>
    <mergeCell ref="CV4:DB4"/>
    <mergeCell ref="DC4:DI4"/>
    <mergeCell ref="BM4:BS4"/>
    <mergeCell ref="BT4:BZ4"/>
    <mergeCell ref="CA4:CG4"/>
    <mergeCell ref="CH4:CN4"/>
    <mergeCell ref="CO4:CU4"/>
  </mergeCells>
  <conditionalFormatting sqref="D7:D36">
    <cfRule type="dataBar" priority="29">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DI13">
    <cfRule type="expression" dxfId="15" priority="12">
      <formula>AND(task_start&lt;=I$5,ROUNDDOWN((task_end-task_start+1)*task_progress,0)+task_start-1&gt;=I$5)</formula>
    </cfRule>
    <cfRule type="expression" dxfId="14" priority="13" stopIfTrue="1">
      <formula>AND(task_end&gt;=I$5,task_start&lt;J$5)</formula>
    </cfRule>
  </conditionalFormatting>
  <conditionalFormatting sqref="I15:DI19">
    <cfRule type="expression" dxfId="13" priority="10">
      <formula>AND(task_start&lt;=I$5,ROUNDDOWN((task_end-task_start+1)*task_progress,0)+task_start-1&gt;=I$5)</formula>
    </cfRule>
    <cfRule type="expression" dxfId="12" priority="11" stopIfTrue="1">
      <formula>AND(task_end&gt;=I$5,task_start&lt;J$5)</formula>
    </cfRule>
  </conditionalFormatting>
  <conditionalFormatting sqref="I21:DI23 I25:DI25 I24:N24 Q24:DI24">
    <cfRule type="expression" dxfId="11" priority="8">
      <formula>AND(task_start&lt;=I$5,ROUNDDOWN((task_end-task_start+1)*task_progress,0)+task_start-1&gt;=I$5)</formula>
    </cfRule>
    <cfRule type="expression" dxfId="10" priority="9" stopIfTrue="1">
      <formula>AND(task_end&gt;=I$5,task_start&lt;J$5)</formula>
    </cfRule>
  </conditionalFormatting>
  <conditionalFormatting sqref="I27:DI31 I34:DC34 I33:DA33 DD33:DI33 DF34:DI34">
    <cfRule type="expression" dxfId="9" priority="42">
      <formula>AND(task_start&lt;=I$5,ROUNDDOWN((task_end-task_start+1)*task_progress,0)+task_start-1&gt;=I$5)</formula>
    </cfRule>
    <cfRule type="expression" dxfId="8" priority="43" stopIfTrue="1">
      <formula>AND(task_end&gt;=I$5,task_start&lt;J$5)</formula>
    </cfRule>
  </conditionalFormatting>
  <conditionalFormatting sqref="DD34:DE34">
    <cfRule type="expression" dxfId="7" priority="46">
      <formula>AND(task_start&lt;=DA$5,ROUNDDOWN((task_end-task_start+1)*task_progress,0)+task_start-1&gt;=DA$5)</formula>
    </cfRule>
    <cfRule type="expression" dxfId="6" priority="47" stopIfTrue="1">
      <formula>AND(task_end&gt;=DA$5,task_start&lt;DB$5)</formula>
    </cfRule>
  </conditionalFormatting>
  <conditionalFormatting sqref="DC33">
    <cfRule type="expression" dxfId="5" priority="4">
      <formula>AND(task_start&lt;=CZ$5,ROUNDDOWN((task_end-task_start+1)*task_progress,0)+task_start-1&gt;=CZ$5)</formula>
    </cfRule>
    <cfRule type="expression" dxfId="4" priority="5" stopIfTrue="1">
      <formula>AND(task_end&gt;=CZ$5,task_start&lt;DA$5)</formula>
    </cfRule>
  </conditionalFormatting>
  <conditionalFormatting sqref="DB33">
    <cfRule type="expression" dxfId="3" priority="1">
      <formula>AND(task_start&lt;=CY$5,ROUNDDOWN((task_end-task_start+1)*task_progress,0)+task_start-1&gt;=CY$5)</formula>
    </cfRule>
    <cfRule type="expression" dxfId="2" priority="2" stopIfTrue="1">
      <formula>AND(task_end&gt;=CY$5,task_start&lt;CZ$5)</formula>
    </cfRule>
  </conditionalFormatting>
  <conditionalFormatting sqref="O24">
    <cfRule type="expression" dxfId="1" priority="52">
      <formula>AND(task_start&lt;=P$5,ROUNDDOWN((task_end-task_start+1)*task_progress,0)+task_start-1&gt;=P$5)</formula>
    </cfRule>
    <cfRule type="expression" dxfId="0" priority="53" stopIfTrue="1">
      <formula>AND(task_end&gt;=P$5,task_start&lt;Q$5)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6"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8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83" t="s">
        <v>44</v>
      </c>
      <c r="B2" s="8"/>
    </row>
    <row r="3" spans="1:2" s="11" customFormat="1" ht="27" customHeight="1">
      <c r="A3" s="84"/>
      <c r="B3" s="12"/>
    </row>
    <row r="4" spans="1:2" s="10" customFormat="1" ht="30">
      <c r="A4" s="85" t="s">
        <v>45</v>
      </c>
    </row>
    <row r="5" spans="1:2" ht="74.25" customHeight="1">
      <c r="A5" s="86" t="s">
        <v>46</v>
      </c>
    </row>
    <row r="6" spans="1:2" ht="26.25" customHeight="1">
      <c r="A6" s="85" t="s">
        <v>47</v>
      </c>
    </row>
    <row r="7" spans="1:2" s="7" customFormat="1" ht="205.15" customHeight="1">
      <c r="A7" s="87" t="s">
        <v>48</v>
      </c>
    </row>
    <row r="8" spans="1:2" s="10" customFormat="1" ht="30">
      <c r="A8" s="85" t="s">
        <v>49</v>
      </c>
    </row>
    <row r="9" spans="1:2" ht="41.45">
      <c r="A9" s="86" t="s">
        <v>50</v>
      </c>
    </row>
    <row r="10" spans="1:2" s="7" customFormat="1" ht="28.15" customHeight="1">
      <c r="A10" s="88" t="s">
        <v>51</v>
      </c>
    </row>
    <row r="11" spans="1:2" s="10" customFormat="1" ht="30">
      <c r="A11" s="85" t="s">
        <v>52</v>
      </c>
    </row>
    <row r="12" spans="1:2" ht="27.6">
      <c r="A12" s="86" t="s">
        <v>53</v>
      </c>
    </row>
    <row r="13" spans="1:2" s="7" customFormat="1" ht="28.15" customHeight="1">
      <c r="A13" s="88" t="s">
        <v>54</v>
      </c>
    </row>
    <row r="14" spans="1:2" s="10" customFormat="1" ht="30">
      <c r="A14" s="85" t="s">
        <v>55</v>
      </c>
    </row>
    <row r="15" spans="1:2" ht="75" customHeight="1">
      <c r="A15" s="86" t="s">
        <v>56</v>
      </c>
    </row>
    <row r="16" spans="1:2" ht="69">
      <c r="A16" s="86" t="s">
        <v>57</v>
      </c>
    </row>
    <row r="17" spans="1:1">
      <c r="A17" s="89"/>
    </row>
    <row r="18" spans="1:1">
      <c r="A18" s="89"/>
    </row>
    <row r="19" spans="1:1">
      <c r="A19" s="89"/>
    </row>
    <row r="20" spans="1:1">
      <c r="A20" s="89"/>
    </row>
    <row r="21" spans="1:1">
      <c r="A21" s="89"/>
    </row>
    <row r="22" spans="1:1">
      <c r="A22" s="89"/>
    </row>
    <row r="23" spans="1:1">
      <c r="A23" s="89"/>
    </row>
    <row r="24" spans="1:1">
      <c r="A24" s="8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2022-03-11T22:41:12Z</dcterms:created>
  <dcterms:modified xsi:type="dcterms:W3CDTF">2026-03-14T17:33:02Z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